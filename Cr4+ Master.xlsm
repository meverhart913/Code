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gc-my.sharepoint.us/personal/michael_everhart_ngc_com/Documents/Documents/"/>
    </mc:Choice>
  </mc:AlternateContent>
  <xr:revisionPtr revIDLastSave="38" documentId="8_{F693E639-7ADD-40C0-A9E1-0FBF84D58A7A}" xr6:coauthVersionLast="47" xr6:coauthVersionMax="47" xr10:uidLastSave="{EFBF7B8C-78CB-4076-9CBF-9753790A1A34}"/>
  <bookViews>
    <workbookView xWindow="-120" yWindow="-120" windowWidth="29040" windowHeight="15720" activeTab="1" xr2:uid="{9EC2D616-20A7-4B7A-845B-3A1E97762DAC}"/>
  </bookViews>
  <sheets>
    <sheet name="Cr4+" sheetId="1" r:id="rId1"/>
    <sheet name="Inventory" sheetId="4" r:id="rId2"/>
    <sheet name="Calculator" sheetId="3" r:id="rId3"/>
    <sheet name="Data" sheetId="2" r:id="rId4"/>
  </sheets>
  <externalReferences>
    <externalReference r:id="rId5"/>
  </externalReferences>
  <definedNames>
    <definedName name="_xlnm._FilterDatabase" localSheetId="0" hidden="1">'Cr4+'!$I$131:$V$143</definedName>
    <definedName name="_xlnm._FilterDatabase" localSheetId="1" hidden="1">Inventory!$A$3:$N$3</definedName>
    <definedName name="Display_Week">#REF!</definedName>
    <definedName name="DynamicPrintArea">OFFSET([1]Main_Report!#REF!,0,0,COUNTA([1]Main_Report!$G:$G)+1,27)</definedName>
    <definedName name="Project_Start">#REF!</definedName>
    <definedName name="Query_from_SqlServer" localSheetId="3" hidden="1">Data!$A$1:$E$865</definedName>
    <definedName name="Query_from_SqlServer_1" localSheetId="0" hidden="1">'Cr4+'!$Y$40:$AB$83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K10" i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9" i="1"/>
  <c r="K8" i="1"/>
  <c r="K7" i="1"/>
  <c r="E9" i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H39" i="4" a="1"/>
  <c r="H39" i="4" s="1"/>
  <c r="K39" i="4" s="1"/>
  <c r="I39" i="4" a="1"/>
  <c r="I39" i="4" s="1"/>
  <c r="H40" i="4" a="1"/>
  <c r="H40" i="4" s="1"/>
  <c r="I40" i="4" a="1"/>
  <c r="I40" i="4" s="1"/>
  <c r="H41" i="4" a="1"/>
  <c r="H41" i="4" s="1"/>
  <c r="I41" i="4" a="1"/>
  <c r="I41" i="4" s="1"/>
  <c r="H42" i="4" a="1"/>
  <c r="H42" i="4" s="1"/>
  <c r="I42" i="4" a="1"/>
  <c r="I42" i="4" s="1"/>
  <c r="H43" i="4" a="1"/>
  <c r="H43" i="4" s="1"/>
  <c r="I43" i="4" a="1"/>
  <c r="I43" i="4" s="1"/>
  <c r="H44" i="4" a="1"/>
  <c r="H44" i="4" s="1"/>
  <c r="I44" i="4" a="1"/>
  <c r="I44" i="4" s="1"/>
  <c r="H45" i="4" a="1"/>
  <c r="H45" i="4" s="1"/>
  <c r="K45" i="4" s="1"/>
  <c r="I45" i="4" a="1"/>
  <c r="I45" i="4" s="1"/>
  <c r="H46" i="4" a="1"/>
  <c r="H46" i="4" s="1"/>
  <c r="I46" i="4" a="1"/>
  <c r="I46" i="4" s="1"/>
  <c r="H47" i="4" a="1"/>
  <c r="H47" i="4" s="1"/>
  <c r="I47" i="4" a="1"/>
  <c r="I47" i="4" s="1"/>
  <c r="H48" i="4" a="1"/>
  <c r="H48" i="4" s="1"/>
  <c r="I48" i="4" a="1"/>
  <c r="I48" i="4" s="1"/>
  <c r="H49" i="4" a="1"/>
  <c r="H49" i="4" s="1"/>
  <c r="I49" i="4" a="1"/>
  <c r="I49" i="4" s="1"/>
  <c r="H50" i="4" a="1"/>
  <c r="H50" i="4" s="1"/>
  <c r="I50" i="4" a="1"/>
  <c r="I50" i="4" s="1"/>
  <c r="H51" i="4" a="1"/>
  <c r="H51" i="4" s="1"/>
  <c r="K51" i="4" s="1"/>
  <c r="I51" i="4" a="1"/>
  <c r="I51" i="4" s="1"/>
  <c r="H52" i="4" a="1"/>
  <c r="H52" i="4" s="1"/>
  <c r="I52" i="4" a="1"/>
  <c r="I52" i="4" s="1"/>
  <c r="H53" i="4" a="1"/>
  <c r="H53" i="4" s="1"/>
  <c r="I53" i="4" a="1"/>
  <c r="I53" i="4" s="1"/>
  <c r="H54" i="4" a="1"/>
  <c r="H54" i="4" s="1"/>
  <c r="I54" i="4" a="1"/>
  <c r="I54" i="4" s="1"/>
  <c r="H55" i="4" a="1"/>
  <c r="H55" i="4" s="1"/>
  <c r="I55" i="4" a="1"/>
  <c r="I55" i="4" s="1"/>
  <c r="H56" i="4" a="1"/>
  <c r="H56" i="4" s="1"/>
  <c r="I56" i="4" a="1"/>
  <c r="I56" i="4" s="1"/>
  <c r="H57" i="4" a="1"/>
  <c r="H57" i="4" s="1"/>
  <c r="K57" i="4" s="1"/>
  <c r="I57" i="4" a="1"/>
  <c r="I57" i="4" s="1"/>
  <c r="H58" i="4" a="1"/>
  <c r="H58" i="4" s="1"/>
  <c r="I58" i="4" a="1"/>
  <c r="I58" i="4" s="1"/>
  <c r="H59" i="4" a="1"/>
  <c r="H59" i="4" s="1"/>
  <c r="I59" i="4" a="1"/>
  <c r="I59" i="4" s="1"/>
  <c r="H60" i="4" a="1"/>
  <c r="H60" i="4" s="1"/>
  <c r="I60" i="4" a="1"/>
  <c r="I60" i="4" s="1"/>
  <c r="H61" i="4" a="1"/>
  <c r="H61" i="4" s="1"/>
  <c r="I61" i="4" a="1"/>
  <c r="I61" i="4" s="1"/>
  <c r="H62" i="4" a="1"/>
  <c r="H62" i="4" s="1"/>
  <c r="I62" i="4" a="1"/>
  <c r="I62" i="4" s="1"/>
  <c r="H63" i="4" a="1"/>
  <c r="H63" i="4" s="1"/>
  <c r="K63" i="4" s="1"/>
  <c r="I63" i="4" a="1"/>
  <c r="I63" i="4" s="1"/>
  <c r="H64" i="4" a="1"/>
  <c r="H64" i="4" s="1"/>
  <c r="I64" i="4" a="1"/>
  <c r="I64" i="4" s="1"/>
  <c r="H65" i="4" a="1"/>
  <c r="H65" i="4" s="1"/>
  <c r="I65" i="4" a="1"/>
  <c r="I65" i="4" s="1"/>
  <c r="H66" i="4" a="1"/>
  <c r="H66" i="4" s="1"/>
  <c r="I66" i="4" a="1"/>
  <c r="I66" i="4" s="1"/>
  <c r="H67" i="4" a="1"/>
  <c r="H67" i="4" s="1"/>
  <c r="I67" i="4" a="1"/>
  <c r="I67" i="4" s="1"/>
  <c r="H68" i="4" a="1"/>
  <c r="H68" i="4" s="1"/>
  <c r="I68" i="4" a="1"/>
  <c r="I68" i="4" s="1"/>
  <c r="H69" i="4" a="1"/>
  <c r="H69" i="4" s="1"/>
  <c r="K69" i="4" s="1"/>
  <c r="I69" i="4" a="1"/>
  <c r="I69" i="4" s="1"/>
  <c r="H70" i="4" a="1"/>
  <c r="H70" i="4" s="1"/>
  <c r="I70" i="4" a="1"/>
  <c r="I70" i="4" s="1"/>
  <c r="H71" i="4" a="1"/>
  <c r="H71" i="4" s="1"/>
  <c r="I71" i="4" a="1"/>
  <c r="I71" i="4" s="1"/>
  <c r="H72" i="4" a="1"/>
  <c r="H72" i="4" s="1"/>
  <c r="I72" i="4" a="1"/>
  <c r="I72" i="4" s="1"/>
  <c r="H73" i="4" a="1"/>
  <c r="H73" i="4" s="1"/>
  <c r="I73" i="4" a="1"/>
  <c r="I73" i="4" s="1"/>
  <c r="H74" i="4" a="1"/>
  <c r="H74" i="4" s="1"/>
  <c r="I74" i="4" a="1"/>
  <c r="I74" i="4" s="1"/>
  <c r="H75" i="4" a="1"/>
  <c r="H75" i="4" s="1"/>
  <c r="K75" i="4" s="1"/>
  <c r="I75" i="4" a="1"/>
  <c r="I75" i="4" s="1"/>
  <c r="H76" i="4" a="1"/>
  <c r="H76" i="4" s="1"/>
  <c r="K76" i="4" s="1"/>
  <c r="I76" i="4" a="1"/>
  <c r="I76" i="4" s="1"/>
  <c r="H77" i="4" a="1"/>
  <c r="H77" i="4" s="1"/>
  <c r="I77" i="4" a="1"/>
  <c r="I77" i="4" s="1"/>
  <c r="H78" i="4" a="1"/>
  <c r="H78" i="4" s="1"/>
  <c r="I78" i="4" a="1"/>
  <c r="I78" i="4" s="1"/>
  <c r="H79" i="4" a="1"/>
  <c r="H79" i="4" s="1"/>
  <c r="I79" i="4" a="1"/>
  <c r="I79" i="4" s="1"/>
  <c r="H80" i="4" a="1"/>
  <c r="H80" i="4" s="1"/>
  <c r="I80" i="4" a="1"/>
  <c r="I80" i="4" s="1"/>
  <c r="H81" i="4" a="1"/>
  <c r="H81" i="4" s="1"/>
  <c r="K81" i="4" s="1"/>
  <c r="I81" i="4" a="1"/>
  <c r="I81" i="4" s="1"/>
  <c r="H82" i="4" a="1"/>
  <c r="H82" i="4" s="1"/>
  <c r="K82" i="4" s="1"/>
  <c r="I82" i="4" a="1"/>
  <c r="I82" i="4" s="1"/>
  <c r="H83" i="4" a="1"/>
  <c r="H83" i="4" s="1"/>
  <c r="I83" i="4" a="1"/>
  <c r="I83" i="4" s="1"/>
  <c r="H84" i="4" a="1"/>
  <c r="H84" i="4" s="1"/>
  <c r="I84" i="4" a="1"/>
  <c r="I84" i="4" s="1"/>
  <c r="H85" i="4" a="1"/>
  <c r="H85" i="4" s="1"/>
  <c r="I85" i="4" a="1"/>
  <c r="I85" i="4" s="1"/>
  <c r="H86" i="4" a="1"/>
  <c r="H86" i="4" s="1"/>
  <c r="I86" i="4" a="1"/>
  <c r="I86" i="4" s="1"/>
  <c r="H87" i="4" a="1"/>
  <c r="H87" i="4" s="1"/>
  <c r="K87" i="4" s="1"/>
  <c r="I87" i="4" a="1"/>
  <c r="I87" i="4" s="1"/>
  <c r="H88" i="4" a="1"/>
  <c r="H88" i="4" s="1"/>
  <c r="K88" i="4" s="1"/>
  <c r="I88" i="4" a="1"/>
  <c r="I88" i="4" s="1"/>
  <c r="H89" i="4" a="1"/>
  <c r="H89" i="4" s="1"/>
  <c r="I89" i="4" a="1"/>
  <c r="I89" i="4" s="1"/>
  <c r="H90" i="4" a="1"/>
  <c r="H90" i="4" s="1"/>
  <c r="I90" i="4" a="1"/>
  <c r="I90" i="4" s="1"/>
  <c r="H91" i="4" a="1"/>
  <c r="H91" i="4" s="1"/>
  <c r="I91" i="4" a="1"/>
  <c r="I91" i="4" s="1"/>
  <c r="H92" i="4" a="1"/>
  <c r="H92" i="4" s="1"/>
  <c r="I92" i="4" a="1"/>
  <c r="I92" i="4" s="1"/>
  <c r="H93" i="4" a="1"/>
  <c r="H93" i="4" s="1"/>
  <c r="K93" i="4" s="1"/>
  <c r="I93" i="4" a="1"/>
  <c r="I93" i="4" s="1"/>
  <c r="H94" i="4" a="1"/>
  <c r="H94" i="4" s="1"/>
  <c r="K94" i="4" s="1"/>
  <c r="I94" i="4" a="1"/>
  <c r="I94" i="4" s="1"/>
  <c r="H95" i="4" a="1"/>
  <c r="H95" i="4" s="1"/>
  <c r="I95" i="4" a="1"/>
  <c r="I95" i="4" s="1"/>
  <c r="H96" i="4" a="1"/>
  <c r="H96" i="4" s="1"/>
  <c r="I96" i="4" a="1"/>
  <c r="I96" i="4" s="1"/>
  <c r="H97" i="4" a="1"/>
  <c r="H97" i="4" s="1"/>
  <c r="I97" i="4" a="1"/>
  <c r="I97" i="4" s="1"/>
  <c r="H98" i="4" a="1"/>
  <c r="H98" i="4" s="1"/>
  <c r="I98" i="4" a="1"/>
  <c r="I98" i="4" s="1"/>
  <c r="H99" i="4" a="1"/>
  <c r="H99" i="4" s="1"/>
  <c r="K99" i="4" s="1"/>
  <c r="I99" i="4" a="1"/>
  <c r="I99" i="4" s="1"/>
  <c r="J85" i="4"/>
  <c r="F39" i="4" a="1"/>
  <c r="F39" i="4" s="1"/>
  <c r="G39" i="4" a="1"/>
  <c r="G39" i="4" s="1"/>
  <c r="F40" i="4" a="1"/>
  <c r="F40" i="4" s="1"/>
  <c r="J40" i="4" s="1"/>
  <c r="G40" i="4" a="1"/>
  <c r="G40" i="4" s="1"/>
  <c r="F41" i="4" a="1"/>
  <c r="F41" i="4" s="1"/>
  <c r="G41" i="4" a="1"/>
  <c r="G41" i="4" s="1"/>
  <c r="F42" i="4" a="1"/>
  <c r="F42" i="4" s="1"/>
  <c r="J42" i="4" s="1"/>
  <c r="G42" i="4" a="1"/>
  <c r="G42" i="4" s="1"/>
  <c r="F43" i="4" a="1"/>
  <c r="F43" i="4" s="1"/>
  <c r="G43" i="4" a="1"/>
  <c r="G43" i="4" s="1"/>
  <c r="F44" i="4" a="1"/>
  <c r="F44" i="4" s="1"/>
  <c r="J44" i="4" s="1"/>
  <c r="G44" i="4" a="1"/>
  <c r="G44" i="4" s="1"/>
  <c r="F45" i="4" a="1"/>
  <c r="F45" i="4" s="1"/>
  <c r="G45" i="4" a="1"/>
  <c r="G45" i="4" s="1"/>
  <c r="F46" i="4" a="1"/>
  <c r="F46" i="4" s="1"/>
  <c r="J46" i="4" s="1"/>
  <c r="G46" i="4" a="1"/>
  <c r="G46" i="4" s="1"/>
  <c r="F47" i="4" a="1"/>
  <c r="F47" i="4" s="1"/>
  <c r="G47" i="4" a="1"/>
  <c r="G47" i="4" s="1"/>
  <c r="F48" i="4" a="1"/>
  <c r="F48" i="4" s="1"/>
  <c r="J48" i="4" s="1"/>
  <c r="G48" i="4" a="1"/>
  <c r="G48" i="4" s="1"/>
  <c r="F49" i="4" a="1"/>
  <c r="F49" i="4" s="1"/>
  <c r="J49" i="4" s="1"/>
  <c r="G49" i="4" a="1"/>
  <c r="G49" i="4" s="1"/>
  <c r="F50" i="4" a="1"/>
  <c r="F50" i="4" s="1"/>
  <c r="J50" i="4" s="1"/>
  <c r="G50" i="4" a="1"/>
  <c r="G50" i="4" s="1"/>
  <c r="F51" i="4" a="1"/>
  <c r="F51" i="4" s="1"/>
  <c r="G51" i="4" a="1"/>
  <c r="G51" i="4" s="1"/>
  <c r="F52" i="4" a="1"/>
  <c r="F52" i="4" s="1"/>
  <c r="J52" i="4" s="1"/>
  <c r="G52" i="4" a="1"/>
  <c r="G52" i="4" s="1"/>
  <c r="F53" i="4" a="1"/>
  <c r="F53" i="4" s="1"/>
  <c r="G53" i="4" a="1"/>
  <c r="G53" i="4" s="1"/>
  <c r="F54" i="4" a="1"/>
  <c r="F54" i="4" s="1"/>
  <c r="J54" i="4" s="1"/>
  <c r="G54" i="4" a="1"/>
  <c r="G54" i="4" s="1"/>
  <c r="F55" i="4" a="1"/>
  <c r="F55" i="4" s="1"/>
  <c r="G55" i="4" a="1"/>
  <c r="G55" i="4" s="1"/>
  <c r="F56" i="4" a="1"/>
  <c r="F56" i="4" s="1"/>
  <c r="J56" i="4" s="1"/>
  <c r="G56" i="4" a="1"/>
  <c r="G56" i="4" s="1"/>
  <c r="F57" i="4" a="1"/>
  <c r="F57" i="4" s="1"/>
  <c r="G57" i="4" a="1"/>
  <c r="G57" i="4" s="1"/>
  <c r="F58" i="4" a="1"/>
  <c r="F58" i="4" s="1"/>
  <c r="J58" i="4" s="1"/>
  <c r="G58" i="4" a="1"/>
  <c r="G58" i="4" s="1"/>
  <c r="F59" i="4" a="1"/>
  <c r="F59" i="4" s="1"/>
  <c r="G59" i="4" a="1"/>
  <c r="G59" i="4" s="1"/>
  <c r="F60" i="4" a="1"/>
  <c r="F60" i="4" s="1"/>
  <c r="J60" i="4" s="1"/>
  <c r="G60" i="4" a="1"/>
  <c r="G60" i="4" s="1"/>
  <c r="F61" i="4" a="1"/>
  <c r="F61" i="4" s="1"/>
  <c r="J61" i="4" s="1"/>
  <c r="G61" i="4" a="1"/>
  <c r="G61" i="4" s="1"/>
  <c r="F62" i="4" a="1"/>
  <c r="F62" i="4" s="1"/>
  <c r="J62" i="4" s="1"/>
  <c r="G62" i="4" a="1"/>
  <c r="G62" i="4" s="1"/>
  <c r="F63" i="4" a="1"/>
  <c r="F63" i="4" s="1"/>
  <c r="G63" i="4" a="1"/>
  <c r="G63" i="4" s="1"/>
  <c r="F64" i="4" a="1"/>
  <c r="F64" i="4" s="1"/>
  <c r="J64" i="4" s="1"/>
  <c r="G64" i="4" a="1"/>
  <c r="G64" i="4" s="1"/>
  <c r="F65" i="4" a="1"/>
  <c r="F65" i="4" s="1"/>
  <c r="J65" i="4" s="1"/>
  <c r="G65" i="4" a="1"/>
  <c r="G65" i="4" s="1"/>
  <c r="F66" i="4" a="1"/>
  <c r="F66" i="4" s="1"/>
  <c r="J66" i="4" s="1"/>
  <c r="G66" i="4" a="1"/>
  <c r="G66" i="4" s="1"/>
  <c r="F67" i="4" a="1"/>
  <c r="F67" i="4" s="1"/>
  <c r="G67" i="4" a="1"/>
  <c r="G67" i="4" s="1"/>
  <c r="F68" i="4" a="1"/>
  <c r="F68" i="4" s="1"/>
  <c r="J68" i="4" s="1"/>
  <c r="G68" i="4" a="1"/>
  <c r="G68" i="4" s="1"/>
  <c r="F69" i="4" a="1"/>
  <c r="F69" i="4" s="1"/>
  <c r="G69" i="4" a="1"/>
  <c r="G69" i="4" s="1"/>
  <c r="F70" i="4" a="1"/>
  <c r="F70" i="4" s="1"/>
  <c r="J70" i="4" s="1"/>
  <c r="G70" i="4" a="1"/>
  <c r="G70" i="4" s="1"/>
  <c r="F71" i="4" a="1"/>
  <c r="F71" i="4" s="1"/>
  <c r="J71" i="4" s="1"/>
  <c r="G71" i="4" a="1"/>
  <c r="G71" i="4" s="1"/>
  <c r="F72" i="4" a="1"/>
  <c r="F72" i="4" s="1"/>
  <c r="J72" i="4" s="1"/>
  <c r="G72" i="4" a="1"/>
  <c r="G72" i="4" s="1"/>
  <c r="F73" i="4" a="1"/>
  <c r="F73" i="4" s="1"/>
  <c r="J73" i="4" s="1"/>
  <c r="G73" i="4" a="1"/>
  <c r="G73" i="4" s="1"/>
  <c r="F74" i="4" a="1"/>
  <c r="F74" i="4" s="1"/>
  <c r="J74" i="4" s="1"/>
  <c r="G74" i="4" a="1"/>
  <c r="G74" i="4" s="1"/>
  <c r="F75" i="4" a="1"/>
  <c r="F75" i="4" s="1"/>
  <c r="G75" i="4" a="1"/>
  <c r="G75" i="4" s="1"/>
  <c r="F76" i="4" a="1"/>
  <c r="F76" i="4" s="1"/>
  <c r="J76" i="4" s="1"/>
  <c r="G76" i="4" a="1"/>
  <c r="G76" i="4" s="1"/>
  <c r="F77" i="4" a="1"/>
  <c r="F77" i="4" s="1"/>
  <c r="J77" i="4" s="1"/>
  <c r="G77" i="4" a="1"/>
  <c r="G77" i="4" s="1"/>
  <c r="F78" i="4" a="1"/>
  <c r="F78" i="4" s="1"/>
  <c r="J78" i="4" s="1"/>
  <c r="G78" i="4" a="1"/>
  <c r="G78" i="4" s="1"/>
  <c r="F79" i="4" a="1"/>
  <c r="F79" i="4" s="1"/>
  <c r="G79" i="4" a="1"/>
  <c r="G79" i="4" s="1"/>
  <c r="F80" i="4" a="1"/>
  <c r="F80" i="4" s="1"/>
  <c r="J80" i="4" s="1"/>
  <c r="G80" i="4" a="1"/>
  <c r="G80" i="4" s="1"/>
  <c r="F81" i="4" a="1"/>
  <c r="F81" i="4" s="1"/>
  <c r="G81" i="4" a="1"/>
  <c r="G81" i="4" s="1"/>
  <c r="F82" i="4" a="1"/>
  <c r="F82" i="4" s="1"/>
  <c r="J82" i="4" s="1"/>
  <c r="G82" i="4" a="1"/>
  <c r="G82" i="4" s="1"/>
  <c r="F83" i="4" a="1"/>
  <c r="F83" i="4" s="1"/>
  <c r="J83" i="4" s="1"/>
  <c r="G83" i="4" a="1"/>
  <c r="G83" i="4" s="1"/>
  <c r="F84" i="4" a="1"/>
  <c r="F84" i="4" s="1"/>
  <c r="J84" i="4" s="1"/>
  <c r="G84" i="4" a="1"/>
  <c r="G84" i="4" s="1"/>
  <c r="F85" i="4" a="1"/>
  <c r="F85" i="4" s="1"/>
  <c r="G85" i="4" a="1"/>
  <c r="G85" i="4" s="1"/>
  <c r="F86" i="4" a="1"/>
  <c r="F86" i="4" s="1"/>
  <c r="J86" i="4" s="1"/>
  <c r="G86" i="4" a="1"/>
  <c r="G86" i="4" s="1"/>
  <c r="F87" i="4" a="1"/>
  <c r="F87" i="4" s="1"/>
  <c r="G87" i="4" a="1"/>
  <c r="G87" i="4" s="1"/>
  <c r="F88" i="4" a="1"/>
  <c r="F88" i="4" s="1"/>
  <c r="J88" i="4" s="1"/>
  <c r="G88" i="4" a="1"/>
  <c r="G88" i="4" s="1"/>
  <c r="F89" i="4" a="1"/>
  <c r="F89" i="4" s="1"/>
  <c r="J89" i="4" s="1"/>
  <c r="G89" i="4" a="1"/>
  <c r="G89" i="4" s="1"/>
  <c r="F90" i="4" a="1"/>
  <c r="F90" i="4" s="1"/>
  <c r="J90" i="4" s="1"/>
  <c r="G90" i="4" a="1"/>
  <c r="G90" i="4" s="1"/>
  <c r="F91" i="4" a="1"/>
  <c r="F91" i="4" s="1"/>
  <c r="G91" i="4" a="1"/>
  <c r="G91" i="4" s="1"/>
  <c r="F92" i="4" a="1"/>
  <c r="F92" i="4" s="1"/>
  <c r="J92" i="4" s="1"/>
  <c r="G92" i="4" a="1"/>
  <c r="G92" i="4" s="1"/>
  <c r="F93" i="4" a="1"/>
  <c r="F93" i="4" s="1"/>
  <c r="G93" i="4" a="1"/>
  <c r="G93" i="4" s="1"/>
  <c r="F94" i="4" a="1"/>
  <c r="F94" i="4" s="1"/>
  <c r="J94" i="4" s="1"/>
  <c r="G94" i="4" a="1"/>
  <c r="G94" i="4" s="1"/>
  <c r="F95" i="4" a="1"/>
  <c r="F95" i="4" s="1"/>
  <c r="J95" i="4" s="1"/>
  <c r="G95" i="4" a="1"/>
  <c r="G95" i="4" s="1"/>
  <c r="F96" i="4" a="1"/>
  <c r="F96" i="4" s="1"/>
  <c r="J96" i="4" s="1"/>
  <c r="G96" i="4" a="1"/>
  <c r="G96" i="4" s="1"/>
  <c r="F97" i="4" a="1"/>
  <c r="F97" i="4" s="1"/>
  <c r="J97" i="4" s="1"/>
  <c r="G97" i="4" a="1"/>
  <c r="G97" i="4" s="1"/>
  <c r="F98" i="4" a="1"/>
  <c r="F98" i="4" s="1"/>
  <c r="J98" i="4" s="1"/>
  <c r="G98" i="4" a="1"/>
  <c r="G98" i="4" s="1"/>
  <c r="F99" i="4" a="1"/>
  <c r="F99" i="4" s="1"/>
  <c r="G99" i="4" a="1"/>
  <c r="G99" i="4" s="1"/>
  <c r="D39" i="4" a="1"/>
  <c r="D39" i="4" s="1"/>
  <c r="E39" i="4" a="1"/>
  <c r="E39" i="4" s="1"/>
  <c r="D40" i="4" a="1"/>
  <c r="D40" i="4" s="1"/>
  <c r="E40" i="4" a="1"/>
  <c r="E40" i="4" s="1"/>
  <c r="D41" i="4" a="1"/>
  <c r="D41" i="4" s="1"/>
  <c r="E41" i="4" a="1"/>
  <c r="E41" i="4" s="1"/>
  <c r="D42" i="4" a="1"/>
  <c r="D42" i="4" s="1"/>
  <c r="E42" i="4" a="1"/>
  <c r="E42" i="4" s="1"/>
  <c r="D43" i="4" a="1"/>
  <c r="D43" i="4" s="1"/>
  <c r="E43" i="4" a="1"/>
  <c r="E43" i="4" s="1"/>
  <c r="D44" i="4" a="1"/>
  <c r="D44" i="4" s="1"/>
  <c r="E44" i="4" a="1"/>
  <c r="E44" i="4" s="1"/>
  <c r="D45" i="4" a="1"/>
  <c r="D45" i="4" s="1"/>
  <c r="E45" i="4" a="1"/>
  <c r="E45" i="4" s="1"/>
  <c r="D46" i="4" a="1"/>
  <c r="D46" i="4" s="1"/>
  <c r="E46" i="4" a="1"/>
  <c r="E46" i="4" s="1"/>
  <c r="D47" i="4" a="1"/>
  <c r="D47" i="4" s="1"/>
  <c r="E47" i="4" a="1"/>
  <c r="E47" i="4" s="1"/>
  <c r="D48" i="4" a="1"/>
  <c r="D48" i="4" s="1"/>
  <c r="E48" i="4" a="1"/>
  <c r="E48" i="4" s="1"/>
  <c r="D49" i="4" a="1"/>
  <c r="D49" i="4" s="1"/>
  <c r="E49" i="4" a="1"/>
  <c r="E49" i="4" s="1"/>
  <c r="D50" i="4" a="1"/>
  <c r="D50" i="4" s="1"/>
  <c r="E50" i="4" a="1"/>
  <c r="E50" i="4" s="1"/>
  <c r="D51" i="4" a="1"/>
  <c r="D51" i="4" s="1"/>
  <c r="E51" i="4" a="1"/>
  <c r="E51" i="4" s="1"/>
  <c r="D52" i="4" a="1"/>
  <c r="D52" i="4" s="1"/>
  <c r="E52" i="4" a="1"/>
  <c r="E52" i="4" s="1"/>
  <c r="D53" i="4" a="1"/>
  <c r="D53" i="4" s="1"/>
  <c r="E53" i="4" a="1"/>
  <c r="E53" i="4" s="1"/>
  <c r="D54" i="4" a="1"/>
  <c r="D54" i="4" s="1"/>
  <c r="E54" i="4" a="1"/>
  <c r="E54" i="4" s="1"/>
  <c r="D55" i="4" a="1"/>
  <c r="D55" i="4" s="1"/>
  <c r="E55" i="4" a="1"/>
  <c r="E55" i="4" s="1"/>
  <c r="D56" i="4" a="1"/>
  <c r="D56" i="4" s="1"/>
  <c r="E56" i="4" a="1"/>
  <c r="E56" i="4" s="1"/>
  <c r="D57" i="4" a="1"/>
  <c r="D57" i="4" s="1"/>
  <c r="E57" i="4" a="1"/>
  <c r="E57" i="4" s="1"/>
  <c r="D58" i="4" a="1"/>
  <c r="D58" i="4" s="1"/>
  <c r="E58" i="4" a="1"/>
  <c r="E58" i="4" s="1"/>
  <c r="D59" i="4" a="1"/>
  <c r="D59" i="4" s="1"/>
  <c r="E59" i="4" a="1"/>
  <c r="E59" i="4" s="1"/>
  <c r="D60" i="4" a="1"/>
  <c r="D60" i="4" s="1"/>
  <c r="E60" i="4" a="1"/>
  <c r="E60" i="4" s="1"/>
  <c r="D61" i="4" a="1"/>
  <c r="D61" i="4" s="1"/>
  <c r="E61" i="4" a="1"/>
  <c r="E61" i="4" s="1"/>
  <c r="D62" i="4" a="1"/>
  <c r="D62" i="4" s="1"/>
  <c r="E62" i="4" a="1"/>
  <c r="E62" i="4" s="1"/>
  <c r="D63" i="4" a="1"/>
  <c r="D63" i="4" s="1"/>
  <c r="E63" i="4" a="1"/>
  <c r="E63" i="4" s="1"/>
  <c r="D64" i="4" a="1"/>
  <c r="D64" i="4" s="1"/>
  <c r="E64" i="4" a="1"/>
  <c r="E64" i="4" s="1"/>
  <c r="D65" i="4" a="1"/>
  <c r="D65" i="4" s="1"/>
  <c r="E65" i="4" a="1"/>
  <c r="E65" i="4" s="1"/>
  <c r="D66" i="4" a="1"/>
  <c r="D66" i="4" s="1"/>
  <c r="E66" i="4" a="1"/>
  <c r="E66" i="4" s="1"/>
  <c r="D67" i="4" a="1"/>
  <c r="D67" i="4" s="1"/>
  <c r="E67" i="4" a="1"/>
  <c r="E67" i="4" s="1"/>
  <c r="D68" i="4" a="1"/>
  <c r="D68" i="4" s="1"/>
  <c r="E68" i="4" a="1"/>
  <c r="E68" i="4" s="1"/>
  <c r="D69" i="4" a="1"/>
  <c r="D69" i="4" s="1"/>
  <c r="E69" i="4" a="1"/>
  <c r="E69" i="4" s="1"/>
  <c r="D70" i="4" a="1"/>
  <c r="D70" i="4" s="1"/>
  <c r="E70" i="4" a="1"/>
  <c r="E70" i="4" s="1"/>
  <c r="D71" i="4" a="1"/>
  <c r="D71" i="4" s="1"/>
  <c r="E71" i="4" a="1"/>
  <c r="E71" i="4" s="1"/>
  <c r="D72" i="4" a="1"/>
  <c r="D72" i="4" s="1"/>
  <c r="E72" i="4" a="1"/>
  <c r="E72" i="4" s="1"/>
  <c r="D73" i="4" a="1"/>
  <c r="D73" i="4" s="1"/>
  <c r="E73" i="4" a="1"/>
  <c r="E73" i="4" s="1"/>
  <c r="D74" i="4" a="1"/>
  <c r="D74" i="4" s="1"/>
  <c r="E74" i="4" a="1"/>
  <c r="E74" i="4" s="1"/>
  <c r="D75" i="4" a="1"/>
  <c r="D75" i="4" s="1"/>
  <c r="E75" i="4" a="1"/>
  <c r="E75" i="4" s="1"/>
  <c r="D76" i="4" a="1"/>
  <c r="D76" i="4" s="1"/>
  <c r="E76" i="4" a="1"/>
  <c r="E76" i="4" s="1"/>
  <c r="D77" i="4" a="1"/>
  <c r="D77" i="4" s="1"/>
  <c r="E77" i="4" a="1"/>
  <c r="E77" i="4" s="1"/>
  <c r="D78" i="4" a="1"/>
  <c r="D78" i="4" s="1"/>
  <c r="E78" i="4" a="1"/>
  <c r="E78" i="4" s="1"/>
  <c r="D79" i="4" a="1"/>
  <c r="D79" i="4" s="1"/>
  <c r="E79" i="4" a="1"/>
  <c r="E79" i="4" s="1"/>
  <c r="D80" i="4" a="1"/>
  <c r="D80" i="4" s="1"/>
  <c r="E80" i="4" a="1"/>
  <c r="E80" i="4" s="1"/>
  <c r="D81" i="4" a="1"/>
  <c r="D81" i="4" s="1"/>
  <c r="E81" i="4" a="1"/>
  <c r="E81" i="4" s="1"/>
  <c r="D82" i="4" a="1"/>
  <c r="D82" i="4" s="1"/>
  <c r="E82" i="4" a="1"/>
  <c r="E82" i="4" s="1"/>
  <c r="D83" i="4" a="1"/>
  <c r="D83" i="4" s="1"/>
  <c r="E83" i="4" a="1"/>
  <c r="E83" i="4" s="1"/>
  <c r="D84" i="4" a="1"/>
  <c r="D84" i="4" s="1"/>
  <c r="E84" i="4" a="1"/>
  <c r="E84" i="4" s="1"/>
  <c r="D85" i="4" a="1"/>
  <c r="D85" i="4" s="1"/>
  <c r="E85" i="4" a="1"/>
  <c r="E85" i="4" s="1"/>
  <c r="D86" i="4" a="1"/>
  <c r="D86" i="4" s="1"/>
  <c r="E86" i="4" a="1"/>
  <c r="E86" i="4" s="1"/>
  <c r="D87" i="4" a="1"/>
  <c r="D87" i="4" s="1"/>
  <c r="E87" i="4" a="1"/>
  <c r="E87" i="4" s="1"/>
  <c r="D88" i="4" a="1"/>
  <c r="D88" i="4" s="1"/>
  <c r="E88" i="4" a="1"/>
  <c r="E88" i="4" s="1"/>
  <c r="D89" i="4" a="1"/>
  <c r="D89" i="4" s="1"/>
  <c r="E89" i="4" a="1"/>
  <c r="E89" i="4" s="1"/>
  <c r="D90" i="4" a="1"/>
  <c r="D90" i="4" s="1"/>
  <c r="E90" i="4" a="1"/>
  <c r="E90" i="4" s="1"/>
  <c r="D91" i="4" a="1"/>
  <c r="D91" i="4" s="1"/>
  <c r="E91" i="4" a="1"/>
  <c r="E91" i="4" s="1"/>
  <c r="D92" i="4" a="1"/>
  <c r="D92" i="4" s="1"/>
  <c r="E92" i="4" a="1"/>
  <c r="E92" i="4" s="1"/>
  <c r="D93" i="4" a="1"/>
  <c r="D93" i="4" s="1"/>
  <c r="E93" i="4" a="1"/>
  <c r="E93" i="4" s="1"/>
  <c r="D94" i="4" a="1"/>
  <c r="D94" i="4" s="1"/>
  <c r="E94" i="4" a="1"/>
  <c r="E94" i="4" s="1"/>
  <c r="D95" i="4" a="1"/>
  <c r="D95" i="4" s="1"/>
  <c r="E95" i="4" a="1"/>
  <c r="E95" i="4" s="1"/>
  <c r="D96" i="4" a="1"/>
  <c r="D96" i="4" s="1"/>
  <c r="E96" i="4" a="1"/>
  <c r="E96" i="4" s="1"/>
  <c r="D97" i="4" a="1"/>
  <c r="D97" i="4" s="1"/>
  <c r="E97" i="4" a="1"/>
  <c r="E97" i="4" s="1"/>
  <c r="D98" i="4" a="1"/>
  <c r="D98" i="4" s="1"/>
  <c r="E98" i="4" a="1"/>
  <c r="E98" i="4" s="1"/>
  <c r="D99" i="4" a="1"/>
  <c r="D99" i="4" s="1"/>
  <c r="E99" i="4" a="1"/>
  <c r="E99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69" i="4" a="1"/>
  <c r="B69" i="4" s="1"/>
  <c r="B70" i="4" a="1"/>
  <c r="B70" i="4" s="1"/>
  <c r="B71" i="4" a="1"/>
  <c r="B71" i="4" s="1"/>
  <c r="B72" i="4" a="1"/>
  <c r="B72" i="4" s="1"/>
  <c r="B73" i="4" a="1"/>
  <c r="B73" i="4" s="1"/>
  <c r="B74" i="4" a="1"/>
  <c r="B74" i="4" s="1"/>
  <c r="B75" i="4" a="1"/>
  <c r="B75" i="4" s="1"/>
  <c r="B76" i="4" a="1"/>
  <c r="B76" i="4" s="1"/>
  <c r="B77" i="4" a="1"/>
  <c r="B77" i="4" s="1"/>
  <c r="B78" i="4" a="1"/>
  <c r="B78" i="4" s="1"/>
  <c r="B79" i="4" a="1"/>
  <c r="B79" i="4" s="1"/>
  <c r="B80" i="4" a="1"/>
  <c r="B80" i="4" s="1"/>
  <c r="B81" i="4" a="1"/>
  <c r="B81" i="4" s="1"/>
  <c r="B82" i="4" a="1"/>
  <c r="B82" i="4" s="1"/>
  <c r="B83" i="4" a="1"/>
  <c r="B83" i="4" s="1"/>
  <c r="B84" i="4" a="1"/>
  <c r="B84" i="4" s="1"/>
  <c r="B85" i="4" a="1"/>
  <c r="B85" i="4" s="1"/>
  <c r="B86" i="4" a="1"/>
  <c r="B86" i="4" s="1"/>
  <c r="B87" i="4" a="1"/>
  <c r="B87" i="4" s="1"/>
  <c r="B88" i="4" a="1"/>
  <c r="B88" i="4" s="1"/>
  <c r="B89" i="4" a="1"/>
  <c r="B89" i="4" s="1"/>
  <c r="B90" i="4" a="1"/>
  <c r="B90" i="4" s="1"/>
  <c r="B91" i="4" a="1"/>
  <c r="B91" i="4" s="1"/>
  <c r="B92" i="4" a="1"/>
  <c r="B92" i="4" s="1"/>
  <c r="B93" i="4" a="1"/>
  <c r="B93" i="4" s="1"/>
  <c r="B94" i="4" a="1"/>
  <c r="B94" i="4" s="1"/>
  <c r="B95" i="4" a="1"/>
  <c r="B95" i="4" s="1"/>
  <c r="B96" i="4" a="1"/>
  <c r="B96" i="4" s="1"/>
  <c r="B97" i="4" a="1"/>
  <c r="B97" i="4" s="1"/>
  <c r="B98" i="4" a="1"/>
  <c r="B98" i="4" s="1"/>
  <c r="B99" i="4" a="1"/>
  <c r="B99" i="4" s="1"/>
  <c r="A3" i="4" a="1"/>
  <c r="A3" i="4" s="1"/>
  <c r="V143" i="1"/>
  <c r="U143" i="1"/>
  <c r="T143" i="1"/>
  <c r="Q143" i="1" a="1"/>
  <c r="Q143" i="1" s="1"/>
  <c r="P143" i="1" a="1"/>
  <c r="P143" i="1" s="1"/>
  <c r="S143" i="1" s="1"/>
  <c r="O143" i="1" a="1"/>
  <c r="O143" i="1" s="1"/>
  <c r="N143" i="1" a="1"/>
  <c r="N143" i="1" s="1"/>
  <c r="R143" i="1" s="1"/>
  <c r="M143" i="1" a="1"/>
  <c r="M143" i="1" s="1"/>
  <c r="L143" i="1" a="1"/>
  <c r="L143" i="1" s="1"/>
  <c r="K143" i="1" a="1"/>
  <c r="K143" i="1" s="1"/>
  <c r="J143" i="1" a="1"/>
  <c r="J143" i="1" s="1"/>
  <c r="V142" i="1"/>
  <c r="U142" i="1"/>
  <c r="T142" i="1"/>
  <c r="Q142" i="1" a="1"/>
  <c r="Q142" i="1" s="1"/>
  <c r="P142" i="1" a="1"/>
  <c r="P142" i="1" s="1"/>
  <c r="S142" i="1" s="1"/>
  <c r="O142" i="1" a="1"/>
  <c r="O142" i="1" s="1"/>
  <c r="N142" i="1" a="1"/>
  <c r="N142" i="1" s="1"/>
  <c r="R142" i="1" s="1"/>
  <c r="M142" i="1" a="1"/>
  <c r="M142" i="1" s="1"/>
  <c r="L142" i="1" a="1"/>
  <c r="L142" i="1" s="1"/>
  <c r="K142" i="1" a="1"/>
  <c r="K142" i="1" s="1"/>
  <c r="J142" i="1" a="1"/>
  <c r="J142" i="1" s="1"/>
  <c r="V141" i="1"/>
  <c r="U141" i="1"/>
  <c r="T141" i="1"/>
  <c r="Q141" i="1" a="1"/>
  <c r="Q141" i="1" s="1"/>
  <c r="P141" i="1" a="1"/>
  <c r="P141" i="1" s="1"/>
  <c r="S141" i="1" s="1"/>
  <c r="O141" i="1" a="1"/>
  <c r="O141" i="1" s="1"/>
  <c r="N141" i="1" a="1"/>
  <c r="N141" i="1" s="1"/>
  <c r="R141" i="1" s="1"/>
  <c r="M141" i="1" a="1"/>
  <c r="M141" i="1" s="1"/>
  <c r="L141" i="1" a="1"/>
  <c r="L141" i="1" s="1"/>
  <c r="K141" i="1" a="1"/>
  <c r="K141" i="1" s="1"/>
  <c r="J141" i="1" a="1"/>
  <c r="J141" i="1" s="1"/>
  <c r="V140" i="1"/>
  <c r="U140" i="1"/>
  <c r="T140" i="1"/>
  <c r="Q140" i="1" a="1"/>
  <c r="Q140" i="1" s="1"/>
  <c r="P140" i="1" a="1"/>
  <c r="P140" i="1" s="1"/>
  <c r="S140" i="1" s="1"/>
  <c r="O140" i="1" a="1"/>
  <c r="O140" i="1" s="1"/>
  <c r="N140" i="1" a="1"/>
  <c r="N140" i="1" s="1"/>
  <c r="R140" i="1" s="1"/>
  <c r="M140" i="1" a="1"/>
  <c r="M140" i="1" s="1"/>
  <c r="L140" i="1" a="1"/>
  <c r="L140" i="1" s="1"/>
  <c r="K140" i="1" a="1"/>
  <c r="K140" i="1" s="1"/>
  <c r="J140" i="1" a="1"/>
  <c r="J140" i="1" s="1"/>
  <c r="V139" i="1"/>
  <c r="U139" i="1"/>
  <c r="T139" i="1"/>
  <c r="Q139" i="1" a="1"/>
  <c r="Q139" i="1" s="1"/>
  <c r="P139" i="1" a="1"/>
  <c r="P139" i="1" s="1"/>
  <c r="S139" i="1" s="1"/>
  <c r="O139" i="1" a="1"/>
  <c r="O139" i="1" s="1"/>
  <c r="N139" i="1" a="1"/>
  <c r="N139" i="1" s="1"/>
  <c r="R139" i="1" s="1"/>
  <c r="M139" i="1" a="1"/>
  <c r="M139" i="1" s="1"/>
  <c r="L139" i="1" a="1"/>
  <c r="L139" i="1" s="1"/>
  <c r="K139" i="1" a="1"/>
  <c r="K139" i="1" s="1"/>
  <c r="J139" i="1" a="1"/>
  <c r="J139" i="1" s="1"/>
  <c r="V138" i="1"/>
  <c r="U138" i="1"/>
  <c r="T138" i="1"/>
  <c r="Q138" i="1" a="1"/>
  <c r="Q138" i="1" s="1"/>
  <c r="P138" i="1" a="1"/>
  <c r="P138" i="1" s="1"/>
  <c r="S138" i="1" s="1"/>
  <c r="O138" i="1" a="1"/>
  <c r="O138" i="1" s="1"/>
  <c r="N138" i="1" a="1"/>
  <c r="N138" i="1" s="1"/>
  <c r="R138" i="1" s="1"/>
  <c r="M138" i="1" a="1"/>
  <c r="M138" i="1" s="1"/>
  <c r="L138" i="1" a="1"/>
  <c r="L138" i="1" s="1"/>
  <c r="K138" i="1" a="1"/>
  <c r="K138" i="1" s="1"/>
  <c r="J138" i="1" a="1"/>
  <c r="J138" i="1" s="1"/>
  <c r="V137" i="1"/>
  <c r="U137" i="1"/>
  <c r="T137" i="1"/>
  <c r="Q137" i="1" a="1"/>
  <c r="Q137" i="1" s="1"/>
  <c r="P137" i="1" a="1"/>
  <c r="P137" i="1" s="1"/>
  <c r="S137" i="1" s="1"/>
  <c r="O137" i="1" a="1"/>
  <c r="O137" i="1" s="1"/>
  <c r="N137" i="1" a="1"/>
  <c r="N137" i="1" s="1"/>
  <c r="R137" i="1" s="1"/>
  <c r="M137" i="1" a="1"/>
  <c r="M137" i="1" s="1"/>
  <c r="L137" i="1" a="1"/>
  <c r="L137" i="1" s="1"/>
  <c r="K137" i="1" a="1"/>
  <c r="K137" i="1" s="1"/>
  <c r="J137" i="1" a="1"/>
  <c r="J137" i="1" s="1"/>
  <c r="V136" i="1"/>
  <c r="U136" i="1"/>
  <c r="T136" i="1"/>
  <c r="Q136" i="1" a="1"/>
  <c r="Q136" i="1" s="1"/>
  <c r="P136" i="1" a="1"/>
  <c r="P136" i="1" s="1"/>
  <c r="S136" i="1" s="1"/>
  <c r="O136" i="1" a="1"/>
  <c r="O136" i="1" s="1"/>
  <c r="N136" i="1" a="1"/>
  <c r="N136" i="1" s="1"/>
  <c r="R136" i="1" s="1"/>
  <c r="M136" i="1" a="1"/>
  <c r="M136" i="1" s="1"/>
  <c r="L136" i="1" a="1"/>
  <c r="L136" i="1" s="1"/>
  <c r="K136" i="1" a="1"/>
  <c r="K136" i="1" s="1"/>
  <c r="J136" i="1" a="1"/>
  <c r="J136" i="1" s="1"/>
  <c r="V135" i="1"/>
  <c r="U135" i="1"/>
  <c r="T135" i="1"/>
  <c r="Q135" i="1" a="1"/>
  <c r="Q135" i="1" s="1"/>
  <c r="P135" i="1" a="1"/>
  <c r="P135" i="1" s="1"/>
  <c r="S135" i="1" s="1"/>
  <c r="O135" i="1" a="1"/>
  <c r="O135" i="1" s="1"/>
  <c r="N135" i="1" a="1"/>
  <c r="N135" i="1" s="1"/>
  <c r="R135" i="1" s="1"/>
  <c r="M135" i="1" a="1"/>
  <c r="M135" i="1" s="1"/>
  <c r="L135" i="1" a="1"/>
  <c r="L135" i="1" s="1"/>
  <c r="K135" i="1" a="1"/>
  <c r="K135" i="1" s="1"/>
  <c r="J135" i="1" a="1"/>
  <c r="J135" i="1" s="1"/>
  <c r="D23" i="1"/>
  <c r="D24" i="1" s="1"/>
  <c r="D25" i="1" s="1"/>
  <c r="C23" i="1"/>
  <c r="C24" i="1" s="1"/>
  <c r="C25" i="1" s="1"/>
  <c r="B23" i="1"/>
  <c r="B24" i="1" s="1"/>
  <c r="B25" i="1" s="1"/>
  <c r="A12" i="1"/>
  <c r="B12" i="1" s="1"/>
  <c r="I8" i="1" s="1"/>
  <c r="I18" i="1" s="1"/>
  <c r="B11" i="1"/>
  <c r="H8" i="1" s="1"/>
  <c r="H11" i="1" s="1"/>
  <c r="A10" i="1"/>
  <c r="A9" i="1" s="1"/>
  <c r="F7" i="1" s="1"/>
  <c r="H7" i="1"/>
  <c r="B36" i="4" l="1" a="1"/>
  <c r="B36" i="4" s="1"/>
  <c r="B24" i="4" a="1"/>
  <c r="B24" i="4" s="1"/>
  <c r="B12" i="4" a="1"/>
  <c r="B12" i="4" s="1"/>
  <c r="C36" i="4" a="1"/>
  <c r="C36" i="4" s="1"/>
  <c r="C24" i="4" a="1"/>
  <c r="C24" i="4" s="1"/>
  <c r="C12" i="4" a="1"/>
  <c r="C12" i="4" s="1"/>
  <c r="E38" i="4" a="1"/>
  <c r="E38" i="4" s="1"/>
  <c r="E32" i="4" a="1"/>
  <c r="E32" i="4" s="1"/>
  <c r="E26" i="4" a="1"/>
  <c r="E26" i="4" s="1"/>
  <c r="E20" i="4" a="1"/>
  <c r="E20" i="4" s="1"/>
  <c r="E14" i="4" a="1"/>
  <c r="E14" i="4" s="1"/>
  <c r="E8" i="4" a="1"/>
  <c r="E8" i="4" s="1"/>
  <c r="G38" i="4" a="1"/>
  <c r="G38" i="4" s="1"/>
  <c r="G32" i="4" a="1"/>
  <c r="G32" i="4" s="1"/>
  <c r="G26" i="4" a="1"/>
  <c r="G26" i="4" s="1"/>
  <c r="F21" i="4" a="1"/>
  <c r="F21" i="4" s="1"/>
  <c r="F15" i="4" a="1"/>
  <c r="F15" i="4" s="1"/>
  <c r="F10" i="4" a="1"/>
  <c r="F10" i="4" s="1"/>
  <c r="H38" i="4" a="1"/>
  <c r="H38" i="4" s="1"/>
  <c r="H32" i="4" a="1"/>
  <c r="H32" i="4" s="1"/>
  <c r="H26" i="4" a="1"/>
  <c r="H26" i="4" s="1"/>
  <c r="H20" i="4" a="1"/>
  <c r="H20" i="4" s="1"/>
  <c r="H14" i="4" a="1"/>
  <c r="H14" i="4" s="1"/>
  <c r="H8" i="4" a="1"/>
  <c r="H8" i="4" s="1"/>
  <c r="L35" i="4"/>
  <c r="L23" i="4"/>
  <c r="L11" i="4"/>
  <c r="M35" i="4"/>
  <c r="M23" i="4"/>
  <c r="M11" i="4"/>
  <c r="N35" i="4"/>
  <c r="N23" i="4"/>
  <c r="N11" i="4"/>
  <c r="C35" i="4" a="1"/>
  <c r="C35" i="4" s="1"/>
  <c r="C23" i="4" a="1"/>
  <c r="C23" i="4" s="1"/>
  <c r="C11" i="4" a="1"/>
  <c r="C11" i="4" s="1"/>
  <c r="M22" i="4"/>
  <c r="F38" i="4" a="1"/>
  <c r="F38" i="4" s="1"/>
  <c r="J38" i="4" s="1"/>
  <c r="F32" i="4" a="1"/>
  <c r="F32" i="4" s="1"/>
  <c r="J32" i="4" s="1"/>
  <c r="F26" i="4" a="1"/>
  <c r="F26" i="4" s="1"/>
  <c r="J26" i="4" s="1"/>
  <c r="G20" i="4" a="1"/>
  <c r="G20" i="4" s="1"/>
  <c r="G14" i="4" a="1"/>
  <c r="G14" i="4" s="1"/>
  <c r="G9" i="4" a="1"/>
  <c r="G9" i="4" s="1"/>
  <c r="I31" i="4" a="1"/>
  <c r="I31" i="4" s="1"/>
  <c r="I13" i="4" a="1"/>
  <c r="I13" i="4" s="1"/>
  <c r="L22" i="4"/>
  <c r="N22" i="4"/>
  <c r="B34" i="4" a="1"/>
  <c r="B34" i="4" s="1"/>
  <c r="B22" i="4" a="1"/>
  <c r="B22" i="4" s="1"/>
  <c r="B10" i="4" a="1"/>
  <c r="B10" i="4" s="1"/>
  <c r="C34" i="4" a="1"/>
  <c r="C34" i="4" s="1"/>
  <c r="C22" i="4" a="1"/>
  <c r="C22" i="4" s="1"/>
  <c r="C10" i="4" a="1"/>
  <c r="C10" i="4" s="1"/>
  <c r="E37" i="4" a="1"/>
  <c r="E37" i="4" s="1"/>
  <c r="E31" i="4" a="1"/>
  <c r="E31" i="4" s="1"/>
  <c r="E25" i="4" a="1"/>
  <c r="E25" i="4" s="1"/>
  <c r="E19" i="4" a="1"/>
  <c r="E19" i="4" s="1"/>
  <c r="E13" i="4" a="1"/>
  <c r="E13" i="4" s="1"/>
  <c r="E7" i="4" a="1"/>
  <c r="E7" i="4" s="1"/>
  <c r="G37" i="4" a="1"/>
  <c r="G37" i="4" s="1"/>
  <c r="G31" i="4" a="1"/>
  <c r="G31" i="4" s="1"/>
  <c r="G25" i="4" a="1"/>
  <c r="G25" i="4" s="1"/>
  <c r="F20" i="4" a="1"/>
  <c r="F20" i="4" s="1"/>
  <c r="J20" i="4" s="1"/>
  <c r="F14" i="4" a="1"/>
  <c r="F14" i="4" s="1"/>
  <c r="J14" i="4" s="1"/>
  <c r="F9" i="4" a="1"/>
  <c r="F9" i="4" s="1"/>
  <c r="J9" i="4" s="1"/>
  <c r="H37" i="4" a="1"/>
  <c r="H37" i="4" s="1"/>
  <c r="H31" i="4" a="1"/>
  <c r="H31" i="4" s="1"/>
  <c r="H25" i="4" a="1"/>
  <c r="H25" i="4" s="1"/>
  <c r="H19" i="4" a="1"/>
  <c r="H19" i="4" s="1"/>
  <c r="H13" i="4" a="1"/>
  <c r="H13" i="4" s="1"/>
  <c r="H7" i="4" a="1"/>
  <c r="H7" i="4" s="1"/>
  <c r="L33" i="4"/>
  <c r="L21" i="4"/>
  <c r="L9" i="4"/>
  <c r="M33" i="4"/>
  <c r="M21" i="4"/>
  <c r="M9" i="4"/>
  <c r="N33" i="4"/>
  <c r="N21" i="4"/>
  <c r="N9" i="4"/>
  <c r="I37" i="4" a="1"/>
  <c r="I37" i="4" s="1"/>
  <c r="I25" i="4" a="1"/>
  <c r="I25" i="4" s="1"/>
  <c r="I19" i="4" a="1"/>
  <c r="I19" i="4" s="1"/>
  <c r="I7" i="4" a="1"/>
  <c r="I7" i="4" s="1"/>
  <c r="L34" i="4"/>
  <c r="L10" i="4"/>
  <c r="M34" i="4"/>
  <c r="M10" i="4"/>
  <c r="N34" i="4"/>
  <c r="N10" i="4"/>
  <c r="B33" i="4" a="1"/>
  <c r="B33" i="4" s="1"/>
  <c r="B21" i="4" a="1"/>
  <c r="B21" i="4" s="1"/>
  <c r="B9" i="4" a="1"/>
  <c r="B9" i="4" s="1"/>
  <c r="C33" i="4" a="1"/>
  <c r="C33" i="4" s="1"/>
  <c r="C21" i="4" a="1"/>
  <c r="C21" i="4" s="1"/>
  <c r="C9" i="4" a="1"/>
  <c r="C9" i="4" s="1"/>
  <c r="D37" i="4" a="1"/>
  <c r="D37" i="4" s="1"/>
  <c r="D31" i="4" a="1"/>
  <c r="D31" i="4" s="1"/>
  <c r="D25" i="4" a="1"/>
  <c r="D25" i="4" s="1"/>
  <c r="D19" i="4" a="1"/>
  <c r="D19" i="4" s="1"/>
  <c r="D13" i="4" a="1"/>
  <c r="D13" i="4" s="1"/>
  <c r="D7" i="4" a="1"/>
  <c r="D7" i="4" s="1"/>
  <c r="J91" i="4"/>
  <c r="J79" i="4"/>
  <c r="J67" i="4"/>
  <c r="J55" i="4"/>
  <c r="J43" i="4"/>
  <c r="F37" i="4" a="1"/>
  <c r="F37" i="4" s="1"/>
  <c r="J37" i="4" s="1"/>
  <c r="F31" i="4" a="1"/>
  <c r="F31" i="4" s="1"/>
  <c r="J31" i="4" s="1"/>
  <c r="F25" i="4" a="1"/>
  <c r="F25" i="4" s="1"/>
  <c r="J25" i="4" s="1"/>
  <c r="G19" i="4" a="1"/>
  <c r="G19" i="4" s="1"/>
  <c r="G13" i="4" a="1"/>
  <c r="G13" i="4" s="1"/>
  <c r="G8" i="4" a="1"/>
  <c r="G8" i="4" s="1"/>
  <c r="I36" i="4" a="1"/>
  <c r="I36" i="4" s="1"/>
  <c r="I30" i="4" a="1"/>
  <c r="I30" i="4" s="1"/>
  <c r="I24" i="4" a="1"/>
  <c r="I24" i="4" s="1"/>
  <c r="I18" i="4" a="1"/>
  <c r="I18" i="4" s="1"/>
  <c r="I12" i="4" a="1"/>
  <c r="I12" i="4" s="1"/>
  <c r="I6" i="4" a="1"/>
  <c r="I6" i="4" s="1"/>
  <c r="L32" i="4"/>
  <c r="L20" i="4"/>
  <c r="L8" i="4"/>
  <c r="M32" i="4"/>
  <c r="M20" i="4"/>
  <c r="M8" i="4"/>
  <c r="N32" i="4"/>
  <c r="N20" i="4"/>
  <c r="N8" i="4"/>
  <c r="B32" i="4" a="1"/>
  <c r="B32" i="4" s="1"/>
  <c r="B20" i="4" a="1"/>
  <c r="B20" i="4" s="1"/>
  <c r="B8" i="4" a="1"/>
  <c r="B8" i="4" s="1"/>
  <c r="C32" i="4" a="1"/>
  <c r="C32" i="4" s="1"/>
  <c r="C20" i="4" a="1"/>
  <c r="C20" i="4" s="1"/>
  <c r="C8" i="4" a="1"/>
  <c r="C8" i="4" s="1"/>
  <c r="E36" i="4" a="1"/>
  <c r="E36" i="4" s="1"/>
  <c r="E30" i="4" a="1"/>
  <c r="E30" i="4" s="1"/>
  <c r="E24" i="4" a="1"/>
  <c r="E24" i="4" s="1"/>
  <c r="E18" i="4" a="1"/>
  <c r="E18" i="4" s="1"/>
  <c r="E12" i="4" a="1"/>
  <c r="E12" i="4" s="1"/>
  <c r="E6" i="4" a="1"/>
  <c r="E6" i="4" s="1"/>
  <c r="G36" i="4" a="1"/>
  <c r="G36" i="4" s="1"/>
  <c r="G30" i="4" a="1"/>
  <c r="G30" i="4" s="1"/>
  <c r="G24" i="4" a="1"/>
  <c r="G24" i="4" s="1"/>
  <c r="F19" i="4" a="1"/>
  <c r="F19" i="4" s="1"/>
  <c r="J19" i="4" s="1"/>
  <c r="F8" i="4" a="1"/>
  <c r="F8" i="4" s="1"/>
  <c r="J8" i="4" s="1"/>
  <c r="K96" i="4"/>
  <c r="K90" i="4"/>
  <c r="K84" i="4"/>
  <c r="K78" i="4"/>
  <c r="K72" i="4"/>
  <c r="K66" i="4"/>
  <c r="K60" i="4"/>
  <c r="K54" i="4"/>
  <c r="K48" i="4"/>
  <c r="K42" i="4"/>
  <c r="H36" i="4" a="1"/>
  <c r="H36" i="4" s="1"/>
  <c r="K36" i="4" s="1"/>
  <c r="H30" i="4" a="1"/>
  <c r="H30" i="4" s="1"/>
  <c r="H24" i="4" a="1"/>
  <c r="H24" i="4" s="1"/>
  <c r="K24" i="4" s="1"/>
  <c r="H18" i="4" a="1"/>
  <c r="H18" i="4" s="1"/>
  <c r="K18" i="4" s="1"/>
  <c r="H12" i="4" a="1"/>
  <c r="H12" i="4" s="1"/>
  <c r="K12" i="4" s="1"/>
  <c r="H6" i="4" a="1"/>
  <c r="H6" i="4" s="1"/>
  <c r="L31" i="4"/>
  <c r="L19" i="4"/>
  <c r="L7" i="4"/>
  <c r="M31" i="4"/>
  <c r="M19" i="4"/>
  <c r="M7" i="4"/>
  <c r="N31" i="4"/>
  <c r="N19" i="4"/>
  <c r="N7" i="4"/>
  <c r="B31" i="4" a="1"/>
  <c r="B31" i="4" s="1"/>
  <c r="B19" i="4" a="1"/>
  <c r="B19" i="4" s="1"/>
  <c r="B7" i="4" a="1"/>
  <c r="B7" i="4" s="1"/>
  <c r="C31" i="4" a="1"/>
  <c r="C31" i="4" s="1"/>
  <c r="C19" i="4" a="1"/>
  <c r="C19" i="4" s="1"/>
  <c r="C7" i="4" a="1"/>
  <c r="C7" i="4" s="1"/>
  <c r="D36" i="4" a="1"/>
  <c r="D36" i="4" s="1"/>
  <c r="D30" i="4" a="1"/>
  <c r="D30" i="4" s="1"/>
  <c r="D24" i="4" a="1"/>
  <c r="D24" i="4" s="1"/>
  <c r="D18" i="4" a="1"/>
  <c r="D18" i="4" s="1"/>
  <c r="D12" i="4" a="1"/>
  <c r="D12" i="4" s="1"/>
  <c r="D6" i="4" a="1"/>
  <c r="D6" i="4" s="1"/>
  <c r="F36" i="4" a="1"/>
  <c r="F36" i="4" s="1"/>
  <c r="J36" i="4" s="1"/>
  <c r="F30" i="4" a="1"/>
  <c r="F30" i="4" s="1"/>
  <c r="J30" i="4" s="1"/>
  <c r="F24" i="4" a="1"/>
  <c r="F24" i="4" s="1"/>
  <c r="G18" i="4" a="1"/>
  <c r="G18" i="4" s="1"/>
  <c r="F13" i="4" a="1"/>
  <c r="F13" i="4" s="1"/>
  <c r="J13" i="4" s="1"/>
  <c r="G7" i="4" a="1"/>
  <c r="G7" i="4" s="1"/>
  <c r="I35" i="4" a="1"/>
  <c r="I35" i="4" s="1"/>
  <c r="I29" i="4" a="1"/>
  <c r="I29" i="4" s="1"/>
  <c r="I23" i="4" a="1"/>
  <c r="I23" i="4" s="1"/>
  <c r="I17" i="4" a="1"/>
  <c r="I17" i="4" s="1"/>
  <c r="I11" i="4" a="1"/>
  <c r="I11" i="4" s="1"/>
  <c r="I5" i="4" a="1"/>
  <c r="I5" i="4" s="1"/>
  <c r="L30" i="4"/>
  <c r="L18" i="4"/>
  <c r="L6" i="4"/>
  <c r="M30" i="4"/>
  <c r="M18" i="4"/>
  <c r="M6" i="4"/>
  <c r="N30" i="4"/>
  <c r="N18" i="4"/>
  <c r="N6" i="4"/>
  <c r="D38" i="4" a="1"/>
  <c r="D38" i="4" s="1"/>
  <c r="D32" i="4" a="1"/>
  <c r="D32" i="4" s="1"/>
  <c r="D26" i="4" a="1"/>
  <c r="D26" i="4" s="1"/>
  <c r="D20" i="4" a="1"/>
  <c r="D20" i="4" s="1"/>
  <c r="D14" i="4" a="1"/>
  <c r="D14" i="4" s="1"/>
  <c r="D8" i="4" a="1"/>
  <c r="D8" i="4" s="1"/>
  <c r="B30" i="4" a="1"/>
  <c r="B30" i="4" s="1"/>
  <c r="B18" i="4" a="1"/>
  <c r="B18" i="4" s="1"/>
  <c r="B6" i="4" a="1"/>
  <c r="B6" i="4" s="1"/>
  <c r="C30" i="4" a="1"/>
  <c r="C30" i="4" s="1"/>
  <c r="C18" i="4" a="1"/>
  <c r="C18" i="4" s="1"/>
  <c r="C6" i="4" a="1"/>
  <c r="C6" i="4" s="1"/>
  <c r="E35" i="4" a="1"/>
  <c r="E35" i="4" s="1"/>
  <c r="E29" i="4" a="1"/>
  <c r="E29" i="4" s="1"/>
  <c r="E23" i="4" a="1"/>
  <c r="E23" i="4" s="1"/>
  <c r="E17" i="4" a="1"/>
  <c r="E17" i="4" s="1"/>
  <c r="E11" i="4" a="1"/>
  <c r="E11" i="4" s="1"/>
  <c r="E5" i="4" a="1"/>
  <c r="E5" i="4" s="1"/>
  <c r="G35" i="4" a="1"/>
  <c r="G35" i="4" s="1"/>
  <c r="G29" i="4" a="1"/>
  <c r="G29" i="4" s="1"/>
  <c r="G23" i="4" a="1"/>
  <c r="G23" i="4" s="1"/>
  <c r="F18" i="4" a="1"/>
  <c r="F18" i="4" s="1"/>
  <c r="J18" i="4" s="1"/>
  <c r="G12" i="4" a="1"/>
  <c r="G12" i="4" s="1"/>
  <c r="F7" i="4" a="1"/>
  <c r="F7" i="4" s="1"/>
  <c r="J7" i="4" s="1"/>
  <c r="H35" i="4" a="1"/>
  <c r="H35" i="4" s="1"/>
  <c r="H29" i="4" a="1"/>
  <c r="H29" i="4" s="1"/>
  <c r="H23" i="4" a="1"/>
  <c r="H23" i="4" s="1"/>
  <c r="H17" i="4" a="1"/>
  <c r="H17" i="4" s="1"/>
  <c r="H11" i="4" a="1"/>
  <c r="H11" i="4" s="1"/>
  <c r="H5" i="4" a="1"/>
  <c r="H5" i="4" s="1"/>
  <c r="L29" i="4"/>
  <c r="L17" i="4"/>
  <c r="L5" i="4"/>
  <c r="M29" i="4"/>
  <c r="M17" i="4"/>
  <c r="M5" i="4"/>
  <c r="N29" i="4"/>
  <c r="N17" i="4"/>
  <c r="N5" i="4"/>
  <c r="B29" i="4" a="1"/>
  <c r="B29" i="4" s="1"/>
  <c r="B17" i="4" a="1"/>
  <c r="B17" i="4" s="1"/>
  <c r="B5" i="4" a="1"/>
  <c r="B5" i="4" s="1"/>
  <c r="C29" i="4" a="1"/>
  <c r="C29" i="4" s="1"/>
  <c r="C17" i="4" a="1"/>
  <c r="C17" i="4" s="1"/>
  <c r="C5" i="4" a="1"/>
  <c r="C5" i="4" s="1"/>
  <c r="D35" i="4" a="1"/>
  <c r="D35" i="4" s="1"/>
  <c r="D29" i="4" a="1"/>
  <c r="D29" i="4" s="1"/>
  <c r="D23" i="4" a="1"/>
  <c r="D23" i="4" s="1"/>
  <c r="D17" i="4" a="1"/>
  <c r="D17" i="4" s="1"/>
  <c r="D11" i="4" a="1"/>
  <c r="D11" i="4" s="1"/>
  <c r="D5" i="4" a="1"/>
  <c r="D5" i="4" s="1"/>
  <c r="J59" i="4"/>
  <c r="J53" i="4"/>
  <c r="J47" i="4"/>
  <c r="J41" i="4"/>
  <c r="F35" i="4" a="1"/>
  <c r="F35" i="4" s="1"/>
  <c r="J35" i="4" s="1"/>
  <c r="F29" i="4" a="1"/>
  <c r="F29" i="4" s="1"/>
  <c r="J29" i="4" s="1"/>
  <c r="F23" i="4" a="1"/>
  <c r="F23" i="4" s="1"/>
  <c r="J23" i="4" s="1"/>
  <c r="G17" i="4" a="1"/>
  <c r="G17" i="4" s="1"/>
  <c r="F12" i="4" a="1"/>
  <c r="F12" i="4" s="1"/>
  <c r="J12" i="4" s="1"/>
  <c r="G6" i="4" a="1"/>
  <c r="G6" i="4" s="1"/>
  <c r="I34" i="4" a="1"/>
  <c r="I34" i="4" s="1"/>
  <c r="I28" i="4" a="1"/>
  <c r="I28" i="4" s="1"/>
  <c r="I22" i="4" a="1"/>
  <c r="I22" i="4" s="1"/>
  <c r="I16" i="4" a="1"/>
  <c r="I16" i="4" s="1"/>
  <c r="I10" i="4" a="1"/>
  <c r="I10" i="4" s="1"/>
  <c r="L4" i="4"/>
  <c r="L28" i="4"/>
  <c r="L16" i="4"/>
  <c r="M4" i="4"/>
  <c r="M28" i="4"/>
  <c r="M16" i="4"/>
  <c r="N4" i="4"/>
  <c r="N28" i="4"/>
  <c r="N16" i="4"/>
  <c r="B4" i="4" a="1"/>
  <c r="B4" i="4" s="1"/>
  <c r="B28" i="4" a="1"/>
  <c r="B28" i="4" s="1"/>
  <c r="B16" i="4" a="1"/>
  <c r="B16" i="4" s="1"/>
  <c r="C4" i="4" a="1"/>
  <c r="C4" i="4" s="1"/>
  <c r="C28" i="4" a="1"/>
  <c r="C28" i="4" s="1"/>
  <c r="C16" i="4" a="1"/>
  <c r="C16" i="4" s="1"/>
  <c r="D4" i="4" a="1"/>
  <c r="D4" i="4" s="1"/>
  <c r="E34" i="4" a="1"/>
  <c r="E34" i="4" s="1"/>
  <c r="E28" i="4" a="1"/>
  <c r="E28" i="4" s="1"/>
  <c r="E22" i="4" a="1"/>
  <c r="E22" i="4" s="1"/>
  <c r="E16" i="4" a="1"/>
  <c r="E16" i="4" s="1"/>
  <c r="E10" i="4" a="1"/>
  <c r="E10" i="4" s="1"/>
  <c r="F4" i="4" a="1"/>
  <c r="F4" i="4" s="1"/>
  <c r="G34" i="4" a="1"/>
  <c r="G34" i="4" s="1"/>
  <c r="G28" i="4" a="1"/>
  <c r="G28" i="4" s="1"/>
  <c r="G22" i="4" a="1"/>
  <c r="G22" i="4" s="1"/>
  <c r="F17" i="4" a="1"/>
  <c r="F17" i="4" s="1"/>
  <c r="J17" i="4" s="1"/>
  <c r="G11" i="4" a="1"/>
  <c r="G11" i="4" s="1"/>
  <c r="F6" i="4" a="1"/>
  <c r="F6" i="4" s="1"/>
  <c r="H4" i="4" a="1"/>
  <c r="H4" i="4" s="1"/>
  <c r="K70" i="4"/>
  <c r="K64" i="4"/>
  <c r="K58" i="4"/>
  <c r="K52" i="4"/>
  <c r="K46" i="4"/>
  <c r="K40" i="4"/>
  <c r="H34" i="4" a="1"/>
  <c r="H34" i="4" s="1"/>
  <c r="K34" i="4" s="1"/>
  <c r="H28" i="4" a="1"/>
  <c r="H28" i="4" s="1"/>
  <c r="H22" i="4" a="1"/>
  <c r="H22" i="4" s="1"/>
  <c r="K22" i="4" s="1"/>
  <c r="H16" i="4" a="1"/>
  <c r="H16" i="4" s="1"/>
  <c r="K16" i="4" s="1"/>
  <c r="H10" i="4" a="1"/>
  <c r="H10" i="4" s="1"/>
  <c r="K10" i="4" s="1"/>
  <c r="L27" i="4"/>
  <c r="L15" i="4"/>
  <c r="M27" i="4"/>
  <c r="M15" i="4"/>
  <c r="N27" i="4"/>
  <c r="N15" i="4"/>
  <c r="B27" i="4" a="1"/>
  <c r="B27" i="4" s="1"/>
  <c r="B15" i="4" a="1"/>
  <c r="B15" i="4" s="1"/>
  <c r="C27" i="4" a="1"/>
  <c r="C27" i="4" s="1"/>
  <c r="C15" i="4" a="1"/>
  <c r="C15" i="4" s="1"/>
  <c r="E4" i="4" a="1"/>
  <c r="E4" i="4" s="1"/>
  <c r="D34" i="4" a="1"/>
  <c r="D34" i="4" s="1"/>
  <c r="D28" i="4" a="1"/>
  <c r="D28" i="4" s="1"/>
  <c r="D22" i="4" a="1"/>
  <c r="D22" i="4" s="1"/>
  <c r="D16" i="4" a="1"/>
  <c r="D16" i="4" s="1"/>
  <c r="D10" i="4" a="1"/>
  <c r="D10" i="4" s="1"/>
  <c r="G4" i="4" a="1"/>
  <c r="G4" i="4" s="1"/>
  <c r="F34" i="4" a="1"/>
  <c r="F34" i="4" s="1"/>
  <c r="J34" i="4" s="1"/>
  <c r="F28" i="4" a="1"/>
  <c r="F28" i="4" s="1"/>
  <c r="J28" i="4" s="1"/>
  <c r="G16" i="4" a="1"/>
  <c r="G16" i="4" s="1"/>
  <c r="F11" i="4" a="1"/>
  <c r="F11" i="4" s="1"/>
  <c r="J11" i="4" s="1"/>
  <c r="G5" i="4" a="1"/>
  <c r="G5" i="4" s="1"/>
  <c r="I33" i="4" a="1"/>
  <c r="I33" i="4" s="1"/>
  <c r="I27" i="4" a="1"/>
  <c r="I27" i="4" s="1"/>
  <c r="I21" i="4" a="1"/>
  <c r="I21" i="4" s="1"/>
  <c r="I15" i="4" a="1"/>
  <c r="I15" i="4" s="1"/>
  <c r="I9" i="4" a="1"/>
  <c r="I9" i="4" s="1"/>
  <c r="L38" i="4"/>
  <c r="L26" i="4"/>
  <c r="L14" i="4"/>
  <c r="M38" i="4"/>
  <c r="M26" i="4"/>
  <c r="M14" i="4"/>
  <c r="N38" i="4"/>
  <c r="N26" i="4"/>
  <c r="N14" i="4"/>
  <c r="B38" i="4" a="1"/>
  <c r="B38" i="4" s="1"/>
  <c r="B26" i="4" a="1"/>
  <c r="B26" i="4" s="1"/>
  <c r="B14" i="4" a="1"/>
  <c r="B14" i="4" s="1"/>
  <c r="C38" i="4" a="1"/>
  <c r="C38" i="4" s="1"/>
  <c r="C26" i="4" a="1"/>
  <c r="C26" i="4" s="1"/>
  <c r="C14" i="4" a="1"/>
  <c r="C14" i="4" s="1"/>
  <c r="E33" i="4" a="1"/>
  <c r="E33" i="4" s="1"/>
  <c r="E27" i="4" a="1"/>
  <c r="E27" i="4" s="1"/>
  <c r="E21" i="4" a="1"/>
  <c r="E21" i="4" s="1"/>
  <c r="E15" i="4" a="1"/>
  <c r="E15" i="4" s="1"/>
  <c r="E9" i="4" a="1"/>
  <c r="E9" i="4" s="1"/>
  <c r="G33" i="4" a="1"/>
  <c r="G33" i="4" s="1"/>
  <c r="G27" i="4" a="1"/>
  <c r="G27" i="4" s="1"/>
  <c r="F22" i="4" a="1"/>
  <c r="F22" i="4" s="1"/>
  <c r="J22" i="4" s="1"/>
  <c r="F16" i="4" a="1"/>
  <c r="F16" i="4" s="1"/>
  <c r="J16" i="4" s="1"/>
  <c r="G10" i="4" a="1"/>
  <c r="G10" i="4" s="1"/>
  <c r="F5" i="4" a="1"/>
  <c r="F5" i="4" s="1"/>
  <c r="J5" i="4" s="1"/>
  <c r="H33" i="4" a="1"/>
  <c r="H33" i="4" s="1"/>
  <c r="K33" i="4" s="1"/>
  <c r="H27" i="4" a="1"/>
  <c r="H27" i="4" s="1"/>
  <c r="H21" i="4" a="1"/>
  <c r="H21" i="4" s="1"/>
  <c r="H15" i="4" a="1"/>
  <c r="H15" i="4" s="1"/>
  <c r="H9" i="4" a="1"/>
  <c r="H9" i="4" s="1"/>
  <c r="L37" i="4"/>
  <c r="L25" i="4"/>
  <c r="L13" i="4"/>
  <c r="M37" i="4"/>
  <c r="M25" i="4"/>
  <c r="M13" i="4"/>
  <c r="N37" i="4"/>
  <c r="N25" i="4"/>
  <c r="N13" i="4"/>
  <c r="B35" i="4" a="1"/>
  <c r="B35" i="4" s="1"/>
  <c r="B23" i="4" a="1"/>
  <c r="B23" i="4" s="1"/>
  <c r="B11" i="4" a="1"/>
  <c r="B11" i="4" s="1"/>
  <c r="B37" i="4" a="1"/>
  <c r="B37" i="4" s="1"/>
  <c r="B25" i="4" a="1"/>
  <c r="B25" i="4" s="1"/>
  <c r="B13" i="4" a="1"/>
  <c r="B13" i="4" s="1"/>
  <c r="C37" i="4" a="1"/>
  <c r="C37" i="4" s="1"/>
  <c r="C25" i="4" a="1"/>
  <c r="C25" i="4" s="1"/>
  <c r="C13" i="4" a="1"/>
  <c r="C13" i="4" s="1"/>
  <c r="D33" i="4" a="1"/>
  <c r="D33" i="4" s="1"/>
  <c r="D27" i="4" a="1"/>
  <c r="D27" i="4" s="1"/>
  <c r="D21" i="4" a="1"/>
  <c r="D21" i="4" s="1"/>
  <c r="D15" i="4" a="1"/>
  <c r="D15" i="4" s="1"/>
  <c r="D9" i="4" a="1"/>
  <c r="D9" i="4" s="1"/>
  <c r="J99" i="4"/>
  <c r="J93" i="4"/>
  <c r="J87" i="4"/>
  <c r="J81" i="4"/>
  <c r="J75" i="4"/>
  <c r="J69" i="4"/>
  <c r="J63" i="4"/>
  <c r="J57" i="4"/>
  <c r="J51" i="4"/>
  <c r="J45" i="4"/>
  <c r="J39" i="4"/>
  <c r="F33" i="4" a="1"/>
  <c r="F33" i="4" s="1"/>
  <c r="J33" i="4" s="1"/>
  <c r="F27" i="4" a="1"/>
  <c r="F27" i="4" s="1"/>
  <c r="J27" i="4" s="1"/>
  <c r="G21" i="4" a="1"/>
  <c r="G21" i="4" s="1"/>
  <c r="G15" i="4" a="1"/>
  <c r="G15" i="4" s="1"/>
  <c r="I4" i="4" a="1"/>
  <c r="I4" i="4" s="1"/>
  <c r="I38" i="4" a="1"/>
  <c r="I38" i="4" s="1"/>
  <c r="K38" i="4" s="1"/>
  <c r="I32" i="4" a="1"/>
  <c r="I32" i="4" s="1"/>
  <c r="K32" i="4" s="1"/>
  <c r="I26" i="4" a="1"/>
  <c r="I26" i="4" s="1"/>
  <c r="I20" i="4" a="1"/>
  <c r="I20" i="4" s="1"/>
  <c r="I14" i="4" a="1"/>
  <c r="I14" i="4" s="1"/>
  <c r="I8" i="4" a="1"/>
  <c r="I8" i="4" s="1"/>
  <c r="K8" i="4" s="1"/>
  <c r="L36" i="4"/>
  <c r="L24" i="4"/>
  <c r="L12" i="4"/>
  <c r="M36" i="4"/>
  <c r="M24" i="4"/>
  <c r="M12" i="4"/>
  <c r="N36" i="4"/>
  <c r="N24" i="4"/>
  <c r="N12" i="4"/>
  <c r="K98" i="4"/>
  <c r="K92" i="4"/>
  <c r="K86" i="4"/>
  <c r="K80" i="4"/>
  <c r="K74" i="4"/>
  <c r="K68" i="4"/>
  <c r="K62" i="4"/>
  <c r="K56" i="4"/>
  <c r="K50" i="4"/>
  <c r="K44" i="4"/>
  <c r="K26" i="4"/>
  <c r="K20" i="4"/>
  <c r="K14" i="4"/>
  <c r="K97" i="4"/>
  <c r="K91" i="4"/>
  <c r="K85" i="4"/>
  <c r="K79" i="4"/>
  <c r="K73" i="4"/>
  <c r="K67" i="4"/>
  <c r="K61" i="4"/>
  <c r="K55" i="4"/>
  <c r="K49" i="4"/>
  <c r="K43" i="4"/>
  <c r="K37" i="4"/>
  <c r="K31" i="4"/>
  <c r="K25" i="4"/>
  <c r="K19" i="4"/>
  <c r="K13" i="4"/>
  <c r="K7" i="4"/>
  <c r="I25" i="1"/>
  <c r="H18" i="1"/>
  <c r="I13" i="1"/>
  <c r="I9" i="1"/>
  <c r="H25" i="1"/>
  <c r="I20" i="1"/>
  <c r="H13" i="1"/>
  <c r="H9" i="1"/>
  <c r="I27" i="1"/>
  <c r="H20" i="1"/>
  <c r="I15" i="1"/>
  <c r="H27" i="1"/>
  <c r="I22" i="1"/>
  <c r="H15" i="1"/>
  <c r="I10" i="1"/>
  <c r="I29" i="1"/>
  <c r="H22" i="1"/>
  <c r="I17" i="1"/>
  <c r="H10" i="1"/>
  <c r="H29" i="1"/>
  <c r="I24" i="1"/>
  <c r="H17" i="1"/>
  <c r="I12" i="1"/>
  <c r="H24" i="1"/>
  <c r="I19" i="1"/>
  <c r="H12" i="1"/>
  <c r="I26" i="1"/>
  <c r="H19" i="1"/>
  <c r="I14" i="1"/>
  <c r="H26" i="1"/>
  <c r="I21" i="1"/>
  <c r="H14" i="1"/>
  <c r="I28" i="1"/>
  <c r="H21" i="1"/>
  <c r="I16" i="1"/>
  <c r="H28" i="1"/>
  <c r="I23" i="1"/>
  <c r="H16" i="1"/>
  <c r="I11" i="1"/>
  <c r="H23" i="1"/>
  <c r="K89" i="4"/>
  <c r="K71" i="4"/>
  <c r="K11" i="4"/>
  <c r="K27" i="4"/>
  <c r="K21" i="4"/>
  <c r="K15" i="4"/>
  <c r="K9" i="4"/>
  <c r="K95" i="4"/>
  <c r="K83" i="4"/>
  <c r="K77" i="4"/>
  <c r="K65" i="4"/>
  <c r="K59" i="4"/>
  <c r="K53" i="4"/>
  <c r="K47" i="4"/>
  <c r="K41" i="4"/>
  <c r="K35" i="4"/>
  <c r="K29" i="4"/>
  <c r="K23" i="4"/>
  <c r="K17" i="4"/>
  <c r="K5" i="4"/>
  <c r="G7" i="1"/>
  <c r="I7" i="1"/>
  <c r="A13" i="1"/>
  <c r="B13" i="1" s="1"/>
  <c r="J8" i="1" s="1"/>
  <c r="B9" i="1"/>
  <c r="F8" i="1" s="1"/>
  <c r="B10" i="1"/>
  <c r="G8" i="1" s="1"/>
  <c r="K4" i="4" l="1"/>
  <c r="J6" i="4"/>
  <c r="K28" i="4"/>
  <c r="J10" i="4"/>
  <c r="J24" i="4"/>
  <c r="K6" i="4"/>
  <c r="J15" i="4"/>
  <c r="J21" i="4"/>
  <c r="J4" i="4"/>
  <c r="K30" i="4"/>
  <c r="J13" i="1"/>
  <c r="J25" i="1"/>
  <c r="J18" i="1"/>
  <c r="J11" i="1"/>
  <c r="J23" i="1"/>
  <c r="J16" i="1"/>
  <c r="J28" i="1"/>
  <c r="J21" i="1"/>
  <c r="J14" i="1"/>
  <c r="J26" i="1"/>
  <c r="J19" i="1"/>
  <c r="J12" i="1"/>
  <c r="J24" i="1"/>
  <c r="J17" i="1"/>
  <c r="J10" i="1"/>
  <c r="J22" i="1"/>
  <c r="J15" i="1"/>
  <c r="J27" i="1"/>
  <c r="J20" i="1"/>
  <c r="J9" i="1"/>
  <c r="G16" i="1"/>
  <c r="G28" i="1"/>
  <c r="G21" i="1"/>
  <c r="G14" i="1"/>
  <c r="G26" i="1"/>
  <c r="G19" i="1"/>
  <c r="G12" i="1"/>
  <c r="G24" i="1"/>
  <c r="G17" i="1"/>
  <c r="G29" i="1"/>
  <c r="G10" i="1"/>
  <c r="G22" i="1"/>
  <c r="G15" i="1"/>
  <c r="G27" i="1"/>
  <c r="G20" i="1"/>
  <c r="G9" i="1"/>
  <c r="G13" i="1"/>
  <c r="G25" i="1"/>
  <c r="G18" i="1"/>
  <c r="G11" i="1"/>
  <c r="G23" i="1"/>
  <c r="F21" i="1"/>
  <c r="F9" i="1"/>
  <c r="F14" i="1"/>
  <c r="F26" i="1"/>
  <c r="F19" i="1"/>
  <c r="F12" i="1"/>
  <c r="F24" i="1"/>
  <c r="F17" i="1"/>
  <c r="F29" i="1"/>
  <c r="F10" i="1"/>
  <c r="F22" i="1"/>
  <c r="F15" i="1"/>
  <c r="F27" i="1"/>
  <c r="F20" i="1"/>
  <c r="F13" i="1"/>
  <c r="F25" i="1"/>
  <c r="F18" i="1"/>
  <c r="F11" i="1"/>
  <c r="F23" i="1"/>
  <c r="F16" i="1"/>
  <c r="F28" i="1"/>
  <c r="J7" i="1"/>
  <c r="K133" i="1" a="1"/>
  <c r="K133" i="1" s="1"/>
  <c r="T131" i="1"/>
  <c r="L131" i="1" a="1"/>
  <c r="L131" i="1" s="1"/>
  <c r="P131" i="1" a="1"/>
  <c r="P131" i="1" s="1"/>
  <c r="T134" i="1"/>
  <c r="N132" i="1" a="1"/>
  <c r="N132" i="1" s="1"/>
  <c r="Q134" i="1" a="1"/>
  <c r="Q134" i="1" s="1"/>
  <c r="V133" i="1"/>
  <c r="L133" i="1" a="1"/>
  <c r="L133" i="1" s="1"/>
  <c r="Q131" i="1" a="1"/>
  <c r="Q131" i="1" s="1"/>
  <c r="N134" i="1" a="1"/>
  <c r="N134" i="1" s="1"/>
  <c r="P133" i="1" a="1"/>
  <c r="P133" i="1" s="1"/>
  <c r="T132" i="1"/>
  <c r="P132" i="1" a="1"/>
  <c r="P132" i="1" s="1"/>
  <c r="K134" i="1" a="1"/>
  <c r="K134" i="1" s="1"/>
  <c r="J133" i="1" a="1"/>
  <c r="J133" i="1" s="1"/>
  <c r="K132" i="1" a="1"/>
  <c r="K132" i="1" s="1"/>
  <c r="V132" i="1"/>
  <c r="K131" i="1" a="1"/>
  <c r="K131" i="1" s="1"/>
  <c r="P134" i="1" a="1"/>
  <c r="P134" i="1" s="1"/>
  <c r="Q133" i="1" a="1"/>
  <c r="Q133" i="1" s="1"/>
  <c r="Q132" i="1" a="1"/>
  <c r="Q132" i="1" s="1"/>
  <c r="T133" i="1"/>
  <c r="V134" i="1"/>
  <c r="O133" i="1" a="1"/>
  <c r="O133" i="1" s="1"/>
  <c r="J132" i="1" a="1"/>
  <c r="J132" i="1" s="1"/>
  <c r="O134" i="1" a="1"/>
  <c r="O134" i="1" s="1"/>
  <c r="M133" i="1" a="1"/>
  <c r="M133" i="1" s="1"/>
  <c r="U131" i="1"/>
  <c r="U134" i="1"/>
  <c r="J131" i="1" a="1"/>
  <c r="J131" i="1" s="1"/>
  <c r="N133" i="1" a="1"/>
  <c r="N133" i="1" s="1"/>
  <c r="M131" i="1" a="1"/>
  <c r="M131" i="1" s="1"/>
  <c r="M134" i="1" a="1"/>
  <c r="M134" i="1" s="1"/>
  <c r="L132" i="1" a="1"/>
  <c r="L132" i="1" s="1"/>
  <c r="J134" i="1" a="1"/>
  <c r="J134" i="1" s="1"/>
  <c r="V131" i="1"/>
  <c r="U133" i="1"/>
  <c r="N131" i="1" a="1"/>
  <c r="N131" i="1" s="1"/>
  <c r="M132" i="1" a="1"/>
  <c r="M132" i="1" s="1"/>
  <c r="U132" i="1"/>
  <c r="O132" i="1" a="1"/>
  <c r="O132" i="1" s="1"/>
  <c r="L134" i="1" a="1"/>
  <c r="L134" i="1" s="1"/>
  <c r="O131" i="1" a="1"/>
  <c r="O131" i="1" s="1"/>
  <c r="S134" i="1" l="1"/>
  <c r="R133" i="1"/>
  <c r="S132" i="1"/>
  <c r="S131" i="1"/>
  <c r="S133" i="1"/>
  <c r="R134" i="1"/>
  <c r="R131" i="1"/>
  <c r="R13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304426-4F64-4716-898C-66FD80A69A24}" name="Query from SqlServer11" type="1" refreshedVersion="8" background="1" saveData="1">
    <dbPr connection="DSN=SqlServer;Description=SqlServer;UID=M89587;Trusted_Connection=Yes;APP=Microsoft Office;WSID=ITE00662373;DATABASE=products" command="SELECT boule_tiers.boule_id, boule_tiers.tier_id, boule_tiers.tier_length_mm, boule_tiers.tier_start_mm_x000d__x000a_FROM products.dbo.boule_tiers boule_tiers_x000d__x000a_WHERE (boule_tiers.tier_status=1) AND (boule_tiers.material_no=54)"/>
  </connection>
  <connection id="2" xr16:uid="{77A8E491-AE38-4587-AC56-7C537D4E8F43}" name="Query from SqlServer9" type="1" refreshedVersion="8" background="1" saveData="1">
    <dbPr connection="DSN=SqlServer;Description=SqlServer;UID=M89587;Trusted_Connection=Yes;APP=Microsoft Office;WSID=ITE00662373;DATABASE=products" command="SELECT measurements_log.item_id, measurements_log.param_no, measurements_log.meas_date, measurements_log.meas_value, parameter_master.param_desc_x000d__x000a_FROM products.dbo.measurements_log measurements_log, products.dbo.parameter_master parameter_master_x000d__x000a_WHERE parameter_master.param_no = measurements_log.param_no AND ((measurements_log.item_id Like '%+A26%') AND (measurements_log.last_tag_item_param_flag=1) AND (measurements_log.param_no In (905,906,1236,1237)))_x000d__x000a_ORDER BY measurements_log.item_id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<sst xmlns="http://schemas.openxmlformats.org/spreadsheetml/2006/main" count="1930" uniqueCount="313">
  <si>
    <t>boule_id</t>
  </si>
  <si>
    <t>tier_id</t>
  </si>
  <si>
    <t>tier_length_mm</t>
  </si>
  <si>
    <t>tier_start_mm</t>
  </si>
  <si>
    <t>%T / OD</t>
  </si>
  <si>
    <t>A26-183</t>
  </si>
  <si>
    <t>T12</t>
  </si>
  <si>
    <t>A26-202</t>
  </si>
  <si>
    <t>T</t>
  </si>
  <si>
    <t>%T</t>
  </si>
  <si>
    <t>OD</t>
  </si>
  <si>
    <t>Length</t>
  </si>
  <si>
    <t>A26-214</t>
  </si>
  <si>
    <t>T2</t>
  </si>
  <si>
    <t>A26-220</t>
  </si>
  <si>
    <t>A26-221</t>
  </si>
  <si>
    <t>A26-261</t>
  </si>
  <si>
    <t>A26-280</t>
  </si>
  <si>
    <t>A26-290</t>
  </si>
  <si>
    <t>A26-293</t>
  </si>
  <si>
    <t>A26-314</t>
  </si>
  <si>
    <t>T222</t>
  </si>
  <si>
    <t>- tolerance</t>
  </si>
  <si>
    <t>A26-319</t>
  </si>
  <si>
    <t>nominal length (inches)</t>
  </si>
  <si>
    <t>A26-321</t>
  </si>
  <si>
    <t>T1</t>
  </si>
  <si>
    <t>+ tolerance</t>
  </si>
  <si>
    <t>A26-346</t>
  </si>
  <si>
    <t>T11</t>
  </si>
  <si>
    <t>A26-347</t>
  </si>
  <si>
    <t>T2121</t>
  </si>
  <si>
    <t>Min Alpha</t>
  </si>
  <si>
    <t>A26-351</t>
  </si>
  <si>
    <t>Max Alpha</t>
  </si>
  <si>
    <t>A26-354</t>
  </si>
  <si>
    <t>min</t>
  </si>
  <si>
    <t>nominal</t>
  </si>
  <si>
    <t>max</t>
  </si>
  <si>
    <t>A26-363</t>
  </si>
  <si>
    <t>T111</t>
  </si>
  <si>
    <t>inch</t>
  </si>
  <si>
    <t>A26-368</t>
  </si>
  <si>
    <t>T21</t>
  </si>
  <si>
    <t>mm</t>
  </si>
  <si>
    <t>A26-370</t>
  </si>
  <si>
    <t>cm</t>
  </si>
  <si>
    <t>A26-387</t>
  </si>
  <si>
    <t>A26-396</t>
  </si>
  <si>
    <t>A26-406</t>
  </si>
  <si>
    <t>A26-409</t>
  </si>
  <si>
    <t>A26-423</t>
  </si>
  <si>
    <t>A26-425</t>
  </si>
  <si>
    <t>Lower</t>
  </si>
  <si>
    <t>Upper</t>
  </si>
  <si>
    <t>A26-440</t>
  </si>
  <si>
    <t>A26-454</t>
  </si>
  <si>
    <t>A26-459</t>
  </si>
  <si>
    <t>item_id</t>
  </si>
  <si>
    <t>param_no</t>
  </si>
  <si>
    <t>meas_date</t>
  </si>
  <si>
    <t>meas_value</t>
  </si>
  <si>
    <t>param_desc</t>
  </si>
  <si>
    <t>boule</t>
  </si>
  <si>
    <t>Upper Inner</t>
  </si>
  <si>
    <t>Upper Outer</t>
  </si>
  <si>
    <t>Lower Inner</t>
  </si>
  <si>
    <t>Lower Outer</t>
  </si>
  <si>
    <t>Upper Inner Post</t>
  </si>
  <si>
    <t>Upper Outer Post</t>
  </si>
  <si>
    <t>Lower Inner Post</t>
  </si>
  <si>
    <t>Lower Outer Post</t>
  </si>
  <si>
    <t>Upper Avg</t>
  </si>
  <si>
    <t>Lower Avg</t>
  </si>
  <si>
    <t>Tier</t>
  </si>
  <si>
    <t>MM from Top</t>
  </si>
  <si>
    <t>A26-471</t>
  </si>
  <si>
    <t>1+A26-303</t>
  </si>
  <si>
    <t>INNER RING ABSORPTION (1064NM)</t>
  </si>
  <si>
    <t>A26-473</t>
  </si>
  <si>
    <t>OUTER RING ABSORPTION (1064NM)</t>
  </si>
  <si>
    <t>A26-476</t>
  </si>
  <si>
    <t>INNER RING PRE-ANNEAL ABSORPTION (1064NM)</t>
  </si>
  <si>
    <t>A26-495</t>
  </si>
  <si>
    <t>OUTER RING PRE-ANNEAL ABSORPTION (1064NM)</t>
  </si>
  <si>
    <t>A26-499</t>
  </si>
  <si>
    <t>1+A26-397</t>
  </si>
  <si>
    <t>A26-501</t>
  </si>
  <si>
    <t>A26-512</t>
  </si>
  <si>
    <t>1+A26-406</t>
  </si>
  <si>
    <t>A26-513</t>
  </si>
  <si>
    <t>A26-514</t>
  </si>
  <si>
    <t>A26-517</t>
  </si>
  <si>
    <t>A26-518</t>
  </si>
  <si>
    <t>1+A26-407</t>
  </si>
  <si>
    <t>A26-524</t>
  </si>
  <si>
    <t>C24-47</t>
  </si>
  <si>
    <t>V6-29</t>
  </si>
  <si>
    <t>1+A26-409</t>
  </si>
  <si>
    <t>1+A26-410</t>
  </si>
  <si>
    <t>1+A26-411</t>
  </si>
  <si>
    <t>1+A26-412</t>
  </si>
  <si>
    <t>1+A26-413</t>
  </si>
  <si>
    <t>1+A26-414</t>
  </si>
  <si>
    <t>1+A26-418</t>
  </si>
  <si>
    <t>1+A26-419</t>
  </si>
  <si>
    <t>1+A26-420</t>
  </si>
  <si>
    <t>1+A26-421</t>
  </si>
  <si>
    <t>1+A26-422</t>
  </si>
  <si>
    <t>1+A26-423</t>
  </si>
  <si>
    <t>1+A26-424</t>
  </si>
  <si>
    <t>1+A26-425</t>
  </si>
  <si>
    <t>1+A26-426</t>
  </si>
  <si>
    <t>1+A26-427</t>
  </si>
  <si>
    <t>1+A26-428</t>
  </si>
  <si>
    <t>1+A26-429</t>
  </si>
  <si>
    <t>1+A26-430</t>
  </si>
  <si>
    <t>1+A26-431</t>
  </si>
  <si>
    <t>1+A26-436</t>
  </si>
  <si>
    <t>1+A26-437</t>
  </si>
  <si>
    <t>1+A26-438</t>
  </si>
  <si>
    <t>1+A26-439</t>
  </si>
  <si>
    <t>1+A26-440</t>
  </si>
  <si>
    <t>1+A26-441</t>
  </si>
  <si>
    <t>1+A26-442</t>
  </si>
  <si>
    <t>1+A26-443</t>
  </si>
  <si>
    <t>1+A26-444</t>
  </si>
  <si>
    <t>1+A26-445</t>
  </si>
  <si>
    <t>1+A26-451</t>
  </si>
  <si>
    <t>1+A26-452</t>
  </si>
  <si>
    <t>1+A26-453</t>
  </si>
  <si>
    <t>1+A26-454</t>
  </si>
  <si>
    <t>1+A26-455</t>
  </si>
  <si>
    <t>1+A26-456</t>
  </si>
  <si>
    <t>1+A26-457</t>
  </si>
  <si>
    <t>1+A26-458</t>
  </si>
  <si>
    <t>1+A26-459</t>
  </si>
  <si>
    <t>1+A26-463</t>
  </si>
  <si>
    <t>1+A26-464</t>
  </si>
  <si>
    <t>1+A26-465</t>
  </si>
  <si>
    <t>1+A26-466</t>
  </si>
  <si>
    <t>1+A26-471</t>
  </si>
  <si>
    <t>1+A26-472</t>
  </si>
  <si>
    <t>1+A26-473</t>
  </si>
  <si>
    <t>1+A26-474</t>
  </si>
  <si>
    <t>1+A26-475</t>
  </si>
  <si>
    <t>1+A26-476</t>
  </si>
  <si>
    <t>1+A26-477</t>
  </si>
  <si>
    <t>1+A26-478</t>
  </si>
  <si>
    <t>1+A26-479</t>
  </si>
  <si>
    <t>1+A26-480</t>
  </si>
  <si>
    <t>1+A26-481</t>
  </si>
  <si>
    <t>1+A26-482</t>
  </si>
  <si>
    <t>1+A26-483</t>
  </si>
  <si>
    <t>1+A26-488</t>
  </si>
  <si>
    <t>1+A26-489</t>
  </si>
  <si>
    <t>1+A26-490</t>
  </si>
  <si>
    <t>1+A26-491</t>
  </si>
  <si>
    <t>1+A26-492</t>
  </si>
  <si>
    <t>1+A26-493</t>
  </si>
  <si>
    <t>1+A26-494</t>
  </si>
  <si>
    <t>1+A26-495</t>
  </si>
  <si>
    <t>1+A26-496</t>
  </si>
  <si>
    <t>1+A26-497</t>
  </si>
  <si>
    <t>1+A26-498</t>
  </si>
  <si>
    <t>1+A26-499</t>
  </si>
  <si>
    <t>1+A26-500</t>
  </si>
  <si>
    <t>1+A26-501</t>
  </si>
  <si>
    <t>1+A26-502</t>
  </si>
  <si>
    <t>1+A26-503</t>
  </si>
  <si>
    <t>1+A26-504</t>
  </si>
  <si>
    <t>1+A26-505</t>
  </si>
  <si>
    <t>1+A26-507</t>
  </si>
  <si>
    <t>1+A26-508</t>
  </si>
  <si>
    <t>1+A26-509</t>
  </si>
  <si>
    <t>1+A26-510</t>
  </si>
  <si>
    <t>1+A26-511</t>
  </si>
  <si>
    <t>1+A26-512</t>
  </si>
  <si>
    <t>1+A26-513</t>
  </si>
  <si>
    <t>1+A26-514</t>
  </si>
  <si>
    <t>1+A26-515</t>
  </si>
  <si>
    <t>1+A26-516</t>
  </si>
  <si>
    <t>1+A26-517</t>
  </si>
  <si>
    <t>1+A26-518</t>
  </si>
  <si>
    <t>1+A26-519</t>
  </si>
  <si>
    <t>1+A26-520</t>
  </si>
  <si>
    <t>1+A26-521</t>
  </si>
  <si>
    <t>1+A26-522</t>
  </si>
  <si>
    <t>1+A26-523</t>
  </si>
  <si>
    <t>1+A26-524</t>
  </si>
  <si>
    <t>1+A26-525</t>
  </si>
  <si>
    <t>1+A26-526</t>
  </si>
  <si>
    <t>1+A26-527</t>
  </si>
  <si>
    <t>1+A26-528</t>
  </si>
  <si>
    <t>2+A26-303</t>
  </si>
  <si>
    <t>2+A26-397</t>
  </si>
  <si>
    <t>2+A26-406</t>
  </si>
  <si>
    <t>2+A26-407</t>
  </si>
  <si>
    <t>2+A26-409</t>
  </si>
  <si>
    <t>2+A26-410</t>
  </si>
  <si>
    <t>2+A26-411</t>
  </si>
  <si>
    <t>2+A26-412</t>
  </si>
  <si>
    <t>2+A26-413</t>
  </si>
  <si>
    <t>2+A26-414</t>
  </si>
  <si>
    <t>2+A26-418</t>
  </si>
  <si>
    <t>2+A26-419</t>
  </si>
  <si>
    <t>2+A26-420</t>
  </si>
  <si>
    <t>2+A26-421</t>
  </si>
  <si>
    <t>2+A26-422</t>
  </si>
  <si>
    <t>2+A26-423</t>
  </si>
  <si>
    <t>2+A26-424</t>
  </si>
  <si>
    <t>2+A26-425</t>
  </si>
  <si>
    <t>2+A26-426</t>
  </si>
  <si>
    <t>2+A26-427</t>
  </si>
  <si>
    <t>2+A26-428</t>
  </si>
  <si>
    <t>2+A26-429</t>
  </si>
  <si>
    <t>2+A26-430</t>
  </si>
  <si>
    <t>2+A26-431</t>
  </si>
  <si>
    <t>2+A26-436</t>
  </si>
  <si>
    <t>2+A26-437</t>
  </si>
  <si>
    <t>2+A26-438</t>
  </si>
  <si>
    <t>2+A26-439</t>
  </si>
  <si>
    <t>2+A26-440</t>
  </si>
  <si>
    <t>2+A26-441</t>
  </si>
  <si>
    <t>2+A26-442</t>
  </si>
  <si>
    <t>2+A26-443</t>
  </si>
  <si>
    <t>2+A26-444</t>
  </si>
  <si>
    <t>2+A26-445</t>
  </si>
  <si>
    <t>2+A26-451</t>
  </si>
  <si>
    <t>2+A26-452</t>
  </si>
  <si>
    <t>2+A26-453</t>
  </si>
  <si>
    <t>2+A26-454</t>
  </si>
  <si>
    <t>2+A26-455</t>
  </si>
  <si>
    <t>2+A26-456</t>
  </si>
  <si>
    <t>2+A26-457</t>
  </si>
  <si>
    <t>2+A26-458</t>
  </si>
  <si>
    <t>2+A26-459</t>
  </si>
  <si>
    <t>2+A26-463</t>
  </si>
  <si>
    <t>2+A26-464</t>
  </si>
  <si>
    <t>2+A26-465</t>
  </si>
  <si>
    <t>2+A26-466</t>
  </si>
  <si>
    <t>2+A26-471</t>
  </si>
  <si>
    <t>2+A26-472</t>
  </si>
  <si>
    <t>2+A26-473</t>
  </si>
  <si>
    <t>2+A26-474</t>
  </si>
  <si>
    <t>2+A26-475</t>
  </si>
  <si>
    <t>2+A26-476</t>
  </si>
  <si>
    <t>2+A26-477</t>
  </si>
  <si>
    <t>2+A26-478</t>
  </si>
  <si>
    <t>2+A26-479</t>
  </si>
  <si>
    <t>2+A26-480</t>
  </si>
  <si>
    <t>2+A26-481</t>
  </si>
  <si>
    <t>2+A26-482</t>
  </si>
  <si>
    <t>2+A26-483</t>
  </si>
  <si>
    <t>2+A26-488</t>
  </si>
  <si>
    <t>2+A26-489</t>
  </si>
  <si>
    <t>2+A26-490</t>
  </si>
  <si>
    <t>2+A26-491</t>
  </si>
  <si>
    <t>2+A26-492</t>
  </si>
  <si>
    <t>2+A26-493</t>
  </si>
  <si>
    <t>2+A26-494</t>
  </si>
  <si>
    <t>2+A26-495</t>
  </si>
  <si>
    <t>2+A26-496</t>
  </si>
  <si>
    <t>2+A26-497</t>
  </si>
  <si>
    <t>2+A26-498</t>
  </si>
  <si>
    <t>2+A26-499</t>
  </si>
  <si>
    <t>2+A26-500</t>
  </si>
  <si>
    <t>2+A26-501</t>
  </si>
  <si>
    <t>2+A26-502</t>
  </si>
  <si>
    <t>2+A26-503</t>
  </si>
  <si>
    <t>2+A26-504</t>
  </si>
  <si>
    <t>2+A26-505</t>
  </si>
  <si>
    <t>2+A26-507</t>
  </si>
  <si>
    <t>2+A26-508</t>
  </si>
  <si>
    <t>2+A26-509</t>
  </si>
  <si>
    <t>2+A26-510</t>
  </si>
  <si>
    <t>2+A26-511</t>
  </si>
  <si>
    <t>2+A26-512</t>
  </si>
  <si>
    <t>2+A26-513</t>
  </si>
  <si>
    <t>2+A26-514</t>
  </si>
  <si>
    <t>2+A26-515</t>
  </si>
  <si>
    <t>2+A26-516</t>
  </si>
  <si>
    <t>2+A26-517</t>
  </si>
  <si>
    <t>2+A26-518</t>
  </si>
  <si>
    <t>2+A26-519</t>
  </si>
  <si>
    <t>2+A26-520</t>
  </si>
  <si>
    <t>2+A26-521</t>
  </si>
  <si>
    <t>2+A26-522</t>
  </si>
  <si>
    <t>2+A26-523</t>
  </si>
  <si>
    <t>2+A26-524</t>
  </si>
  <si>
    <t>2+A26-525</t>
  </si>
  <si>
    <t>2+A26-526</t>
  </si>
  <si>
    <t>2+A26-527</t>
  </si>
  <si>
    <t>2+A26-528</t>
  </si>
  <si>
    <t>3+A26-451</t>
  </si>
  <si>
    <t>3+A26-453</t>
  </si>
  <si>
    <t>3+A26-457</t>
  </si>
  <si>
    <t>3+A26-458</t>
  </si>
  <si>
    <t>3+A26-459</t>
  </si>
  <si>
    <t>3+A26-473</t>
  </si>
  <si>
    <t>3+A26-488</t>
  </si>
  <si>
    <t>4+A26-451</t>
  </si>
  <si>
    <t>4+A26-453</t>
  </si>
  <si>
    <t>4+A26-457</t>
  </si>
  <si>
    <t>4+A26-458</t>
  </si>
  <si>
    <t>4+A26-459</t>
  </si>
  <si>
    <t>4+A26-473</t>
  </si>
  <si>
    <t>4+A26-488</t>
  </si>
  <si>
    <t>Column1</t>
  </si>
  <si>
    <t>Column2</t>
  </si>
  <si>
    <t>Column3</t>
  </si>
  <si>
    <t>Column4</t>
  </si>
  <si>
    <t>A26-528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</si>
</sst>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"/>
  </numFmts>
  <fonts count="7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39">
    <xf numFmtId="0" fontId="0" fillId="0" borderId="0" xfId="0"/>
    <xf numFmtId="1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 vertical="center"/>
    </xf>
    <xf numFmtId="164" fontId="0" fillId="0" borderId="0" xfId="0" applyNumberFormat="1"/>
    <xf numFmtId="0" fontId="5" fillId="0" borderId="0" xfId="0" quotePrefix="1" applyFont="1"/>
    <xf numFmtId="0" fontId="2" fillId="2" borderId="1" xfId="2" applyAlignment="1">
      <alignment horizontal="center"/>
    </xf>
    <xf numFmtId="0" fontId="5" fillId="0" borderId="2" xfId="0" applyFont="1" applyBorder="1"/>
    <xf numFmtId="0" fontId="2" fillId="2" borderId="3" xfId="2" applyBorder="1"/>
    <xf numFmtId="0" fontId="5" fillId="0" borderId="4" xfId="0" applyFont="1" applyBorder="1"/>
    <xf numFmtId="0" fontId="2" fillId="2" borderId="5" xfId="2" applyBorder="1"/>
    <xf numFmtId="0" fontId="0" fillId="0" borderId="2" xfId="0" applyBorder="1"/>
    <xf numFmtId="0" fontId="1" fillId="0" borderId="6" xfId="1" applyBorder="1" applyAlignment="1">
      <alignment horizontal="center"/>
    </xf>
    <xf numFmtId="0" fontId="1" fillId="0" borderId="7" xfId="1" applyBorder="1" applyAlignment="1">
      <alignment horizontal="center"/>
    </xf>
    <xf numFmtId="0" fontId="5" fillId="0" borderId="4" xfId="0" applyFont="1" applyBorder="1" applyAlignment="1">
      <alignment horizontal="right"/>
    </xf>
    <xf numFmtId="0" fontId="3" fillId="3" borderId="1" xfId="3" applyAlignment="1">
      <alignment horizontal="center"/>
    </xf>
    <xf numFmtId="0" fontId="3" fillId="3" borderId="8" xfId="3" applyBorder="1" applyAlignment="1">
      <alignment horizontal="center"/>
    </xf>
    <xf numFmtId="0" fontId="5" fillId="0" borderId="9" xfId="0" applyFont="1" applyBorder="1" applyAlignment="1">
      <alignment horizontal="right"/>
    </xf>
    <xf numFmtId="164" fontId="3" fillId="3" borderId="10" xfId="3" applyNumberFormat="1" applyBorder="1" applyAlignment="1">
      <alignment horizontal="center"/>
    </xf>
    <xf numFmtId="164" fontId="3" fillId="3" borderId="11" xfId="3" applyNumberFormat="1" applyBorder="1" applyAlignment="1">
      <alignment horizontal="center"/>
    </xf>
    <xf numFmtId="0" fontId="1" fillId="0" borderId="2" xfId="1" applyBorder="1" applyAlignment="1">
      <alignment horizontal="center"/>
    </xf>
    <xf numFmtId="0" fontId="2" fillId="2" borderId="12" xfId="2" applyBorder="1" applyAlignment="1">
      <alignment horizontal="center"/>
    </xf>
    <xf numFmtId="0" fontId="2" fillId="2" borderId="11" xfId="2" applyBorder="1" applyAlignment="1">
      <alignment horizontal="center"/>
    </xf>
    <xf numFmtId="22" fontId="0" fillId="0" borderId="0" xfId="0" applyNumberFormat="1"/>
    <xf numFmtId="0" fontId="4" fillId="4" borderId="13" xfId="0" applyFont="1" applyFill="1" applyBorder="1"/>
    <xf numFmtId="0" fontId="4" fillId="4" borderId="15" xfId="0" applyFont="1" applyFill="1" applyBorder="1"/>
    <xf numFmtId="0" fontId="0" fillId="0" borderId="13" xfId="0" applyBorder="1"/>
    <xf numFmtId="0" fontId="0" fillId="5" borderId="13" xfId="0" applyFill="1" applyBorder="1"/>
    <xf numFmtId="0" fontId="0" fillId="5" borderId="15" xfId="0" applyFill="1" applyBorder="1"/>
    <xf numFmtId="0" fontId="0" fillId="0" borderId="15" xfId="0" applyBorder="1"/>
    <xf numFmtId="0" fontId="0" fillId="5" borderId="14" xfId="0" applyFill="1" applyBorder="1"/>
    <xf numFmtId="0" fontId="0" fillId="0" borderId="14" xfId="0" applyBorder="1"/>
    <xf numFmtId="0" fontId="4" fillId="4" borderId="14" xfId="0" applyFont="1" applyFill="1" applyBorder="1"/>
    <xf numFmtId="2" fontId="6" fillId="0" borderId="0" xfId="0" applyNumberFormat="1" applyFont="1"/>
    <xf numFmtId="165" fontId="6" fillId="0" borderId="0" xfId="0" applyNumberFormat="1" applyFont="1"/>
    <xf numFmtId="0" fontId="5" fillId="0" borderId="0" xfId="0" applyFont="1" applyAlignment="1">
      <alignment horizontal="center"/>
    </xf>
  </cellXfs>
  <cellStyles count="4">
    <cellStyle name="Calculation" xfId="3" builtinId="22"/>
    <cellStyle name="Heading 4" xfId="1" builtinId="19"/>
    <cellStyle name="Input" xfId="2" builtinId="20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3</xdr:row>
      <xdr:rowOff>0</xdr:rowOff>
    </xdr:from>
    <xdr:to>
      <xdr:col>9</xdr:col>
      <xdr:colOff>600075</xdr:colOff>
      <xdr:row>6</xdr:row>
      <xdr:rowOff>104775</xdr:rowOff>
    </xdr:to>
    <xdr:sp macro="[0]!Refresh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9FD3A3-418C-BCC5-D867-F24AC6BAF809}"/>
            </a:ext>
          </a:extLst>
        </xdr:cNvPr>
        <xdr:cNvSpPr/>
      </xdr:nvSpPr>
      <xdr:spPr>
        <a:xfrm>
          <a:off x="8191500" y="571500"/>
          <a:ext cx="122872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Refresh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spnc2data\Public\Material_Control\Growth_Planning\Planning_Meetings\Meeting%20Notes\Copy%20of%20Parts_DeliveryPlanning_Report_v6-1-1.xlsm" TargetMode="External"/><Relationship Id="rId1" Type="http://schemas.openxmlformats.org/officeDocument/2006/relationships/externalLinkPath" Target="file:///\\rspnc2data\Public\Material_Control\Growth_Planning\Planning_Meetings\Meeting%20Notes\Copy%20of%20Parts_DeliveryPlanning_Report_v6-1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_Report"/>
      <sheetName val="Comp_Asy"/>
      <sheetName val="Instructions"/>
      <sheetName val="LinkedDataSheet"/>
    </sheetNames>
    <sheetDataSet>
      <sheetData sheetId="0">
        <row r="1">
          <cell r="A1" t="str">
            <v>Version: 6.1.1</v>
          </cell>
        </row>
        <row r="2">
          <cell r="G2" t="str">
            <v>Qty Due</v>
          </cell>
        </row>
        <row r="3">
          <cell r="G3">
            <v>29</v>
          </cell>
        </row>
        <row r="4">
          <cell r="G4">
            <v>29</v>
          </cell>
        </row>
        <row r="5">
          <cell r="G5">
            <v>29</v>
          </cell>
        </row>
        <row r="6">
          <cell r="G6">
            <v>40</v>
          </cell>
        </row>
        <row r="7">
          <cell r="G7">
            <v>40</v>
          </cell>
        </row>
        <row r="8">
          <cell r="G8">
            <v>40</v>
          </cell>
        </row>
        <row r="9">
          <cell r="G9">
            <v>40</v>
          </cell>
        </row>
        <row r="10">
          <cell r="G10">
            <v>40</v>
          </cell>
        </row>
        <row r="11">
          <cell r="G11">
            <v>40</v>
          </cell>
        </row>
        <row r="12">
          <cell r="G12">
            <v>40</v>
          </cell>
        </row>
        <row r="13">
          <cell r="G13">
            <v>40</v>
          </cell>
        </row>
        <row r="14">
          <cell r="G14">
            <v>40</v>
          </cell>
        </row>
        <row r="15">
          <cell r="G15">
            <v>4</v>
          </cell>
        </row>
        <row r="16">
          <cell r="G16">
            <v>40</v>
          </cell>
        </row>
        <row r="17">
          <cell r="G17">
            <v>40</v>
          </cell>
        </row>
        <row r="18">
          <cell r="G18">
            <v>40</v>
          </cell>
        </row>
        <row r="19">
          <cell r="G19">
            <v>35</v>
          </cell>
        </row>
        <row r="20">
          <cell r="G20">
            <v>35</v>
          </cell>
        </row>
        <row r="21">
          <cell r="G21">
            <v>35</v>
          </cell>
        </row>
        <row r="22">
          <cell r="G22">
            <v>1</v>
          </cell>
        </row>
        <row r="23">
          <cell r="G23">
            <v>1</v>
          </cell>
        </row>
        <row r="24">
          <cell r="G24">
            <v>1</v>
          </cell>
        </row>
        <row r="25">
          <cell r="G25">
            <v>16</v>
          </cell>
        </row>
        <row r="26">
          <cell r="G26">
            <v>24</v>
          </cell>
        </row>
        <row r="27">
          <cell r="G27">
            <v>20</v>
          </cell>
        </row>
        <row r="28">
          <cell r="G28">
            <v>104</v>
          </cell>
        </row>
        <row r="29">
          <cell r="G29">
            <v>20</v>
          </cell>
        </row>
        <row r="30">
          <cell r="G30">
            <v>20</v>
          </cell>
        </row>
        <row r="31">
          <cell r="G31">
            <v>40</v>
          </cell>
        </row>
        <row r="32">
          <cell r="G32">
            <v>40</v>
          </cell>
        </row>
        <row r="33">
          <cell r="G33">
            <v>20</v>
          </cell>
        </row>
        <row r="34">
          <cell r="G34">
            <v>40</v>
          </cell>
        </row>
        <row r="35">
          <cell r="G35">
            <v>1</v>
          </cell>
        </row>
        <row r="36">
          <cell r="G36">
            <v>40</v>
          </cell>
        </row>
        <row r="37">
          <cell r="G37">
            <v>40</v>
          </cell>
        </row>
        <row r="38">
          <cell r="G38">
            <v>40</v>
          </cell>
        </row>
        <row r="39">
          <cell r="G39">
            <v>1</v>
          </cell>
        </row>
        <row r="40">
          <cell r="G40">
            <v>12</v>
          </cell>
        </row>
        <row r="41">
          <cell r="G41">
            <v>12</v>
          </cell>
        </row>
        <row r="42">
          <cell r="G42">
            <v>1</v>
          </cell>
        </row>
        <row r="43">
          <cell r="G43">
            <v>28</v>
          </cell>
        </row>
        <row r="44">
          <cell r="G44">
            <v>1</v>
          </cell>
        </row>
        <row r="45">
          <cell r="G45">
            <v>1</v>
          </cell>
        </row>
        <row r="46">
          <cell r="G46">
            <v>2</v>
          </cell>
        </row>
        <row r="47">
          <cell r="G47">
            <v>2</v>
          </cell>
        </row>
        <row r="48">
          <cell r="G48">
            <v>2</v>
          </cell>
        </row>
        <row r="49">
          <cell r="G49">
            <v>6</v>
          </cell>
        </row>
        <row r="50">
          <cell r="G50">
            <v>1</v>
          </cell>
        </row>
        <row r="51">
          <cell r="G51">
            <v>20</v>
          </cell>
        </row>
        <row r="52">
          <cell r="G52">
            <v>31</v>
          </cell>
        </row>
        <row r="53">
          <cell r="G53">
            <v>20</v>
          </cell>
        </row>
        <row r="54">
          <cell r="G54">
            <v>30</v>
          </cell>
        </row>
        <row r="55">
          <cell r="G55">
            <v>0</v>
          </cell>
        </row>
        <row r="56">
          <cell r="G56">
            <v>8</v>
          </cell>
        </row>
        <row r="57">
          <cell r="G57">
            <v>10</v>
          </cell>
        </row>
        <row r="58">
          <cell r="G58">
            <v>330</v>
          </cell>
        </row>
        <row r="59">
          <cell r="G59">
            <v>0</v>
          </cell>
        </row>
        <row r="60">
          <cell r="G60">
            <v>2</v>
          </cell>
        </row>
        <row r="61">
          <cell r="G61">
            <v>1</v>
          </cell>
        </row>
        <row r="62">
          <cell r="G62">
            <v>1</v>
          </cell>
        </row>
        <row r="63">
          <cell r="G63">
            <v>75</v>
          </cell>
        </row>
        <row r="64">
          <cell r="G64">
            <v>1</v>
          </cell>
        </row>
        <row r="65">
          <cell r="G65">
            <v>0</v>
          </cell>
        </row>
        <row r="66">
          <cell r="G66">
            <v>50</v>
          </cell>
        </row>
        <row r="67">
          <cell r="G67">
            <v>20</v>
          </cell>
        </row>
        <row r="68">
          <cell r="G68">
            <v>20</v>
          </cell>
        </row>
        <row r="69">
          <cell r="G69">
            <v>1</v>
          </cell>
        </row>
        <row r="70">
          <cell r="G70">
            <v>14</v>
          </cell>
        </row>
        <row r="71">
          <cell r="G71">
            <v>740</v>
          </cell>
        </row>
        <row r="72">
          <cell r="G72">
            <v>450</v>
          </cell>
        </row>
        <row r="73">
          <cell r="G73">
            <v>130</v>
          </cell>
        </row>
        <row r="74">
          <cell r="G74">
            <v>150</v>
          </cell>
        </row>
        <row r="75">
          <cell r="G75">
            <v>1</v>
          </cell>
        </row>
        <row r="76">
          <cell r="G76">
            <v>20</v>
          </cell>
        </row>
        <row r="77">
          <cell r="G77">
            <v>20</v>
          </cell>
        </row>
        <row r="78">
          <cell r="G78">
            <v>2</v>
          </cell>
        </row>
        <row r="79">
          <cell r="G79">
            <v>10</v>
          </cell>
        </row>
        <row r="80">
          <cell r="G80">
            <v>0</v>
          </cell>
        </row>
        <row r="81">
          <cell r="G81">
            <v>15</v>
          </cell>
        </row>
        <row r="82">
          <cell r="G82">
            <v>15</v>
          </cell>
        </row>
        <row r="83">
          <cell r="G83">
            <v>1</v>
          </cell>
        </row>
        <row r="84">
          <cell r="G84">
            <v>1</v>
          </cell>
        </row>
        <row r="85">
          <cell r="G85">
            <v>15</v>
          </cell>
        </row>
        <row r="86">
          <cell r="G86">
            <v>15</v>
          </cell>
        </row>
        <row r="87">
          <cell r="G87">
            <v>3</v>
          </cell>
        </row>
        <row r="88">
          <cell r="G88">
            <v>3</v>
          </cell>
        </row>
        <row r="89">
          <cell r="G89">
            <v>3</v>
          </cell>
        </row>
        <row r="90">
          <cell r="G90">
            <v>1</v>
          </cell>
        </row>
        <row r="91">
          <cell r="G91">
            <v>62</v>
          </cell>
        </row>
        <row r="92">
          <cell r="G92">
            <v>1</v>
          </cell>
        </row>
        <row r="93">
          <cell r="G93">
            <v>1</v>
          </cell>
        </row>
        <row r="94">
          <cell r="G94">
            <v>11</v>
          </cell>
        </row>
        <row r="95">
          <cell r="G95">
            <v>57</v>
          </cell>
        </row>
        <row r="96">
          <cell r="G96">
            <v>45</v>
          </cell>
        </row>
        <row r="97">
          <cell r="G97">
            <v>40</v>
          </cell>
        </row>
        <row r="98">
          <cell r="G98">
            <v>100</v>
          </cell>
        </row>
        <row r="99">
          <cell r="G99">
            <v>175</v>
          </cell>
        </row>
        <row r="100">
          <cell r="G100">
            <v>1</v>
          </cell>
        </row>
        <row r="101">
          <cell r="G101">
            <v>1</v>
          </cell>
        </row>
        <row r="102">
          <cell r="G102">
            <v>40</v>
          </cell>
        </row>
        <row r="103">
          <cell r="G103">
            <v>20</v>
          </cell>
        </row>
        <row r="104">
          <cell r="G104">
            <v>40</v>
          </cell>
        </row>
        <row r="105">
          <cell r="G105">
            <v>40</v>
          </cell>
        </row>
        <row r="106">
          <cell r="G106">
            <v>30</v>
          </cell>
        </row>
        <row r="107">
          <cell r="G107">
            <v>10</v>
          </cell>
        </row>
        <row r="108">
          <cell r="G108">
            <v>10</v>
          </cell>
        </row>
        <row r="109">
          <cell r="G109">
            <v>0</v>
          </cell>
        </row>
        <row r="110">
          <cell r="G110">
            <v>70</v>
          </cell>
        </row>
        <row r="111">
          <cell r="G111">
            <v>0</v>
          </cell>
        </row>
        <row r="112">
          <cell r="G112">
            <v>20</v>
          </cell>
        </row>
        <row r="113">
          <cell r="G113">
            <v>6</v>
          </cell>
        </row>
        <row r="114">
          <cell r="G114">
            <v>480</v>
          </cell>
        </row>
        <row r="115">
          <cell r="G115">
            <v>1</v>
          </cell>
        </row>
        <row r="116">
          <cell r="G116">
            <v>1</v>
          </cell>
        </row>
        <row r="117">
          <cell r="G117">
            <v>0</v>
          </cell>
        </row>
        <row r="118">
          <cell r="G118">
            <v>20</v>
          </cell>
        </row>
        <row r="119">
          <cell r="G119">
            <v>50</v>
          </cell>
        </row>
        <row r="120">
          <cell r="G120">
            <v>1</v>
          </cell>
        </row>
        <row r="121">
          <cell r="G121">
            <v>7</v>
          </cell>
        </row>
        <row r="122">
          <cell r="G122">
            <v>2</v>
          </cell>
        </row>
        <row r="123">
          <cell r="G123">
            <v>50</v>
          </cell>
        </row>
        <row r="124">
          <cell r="G124">
            <v>8</v>
          </cell>
        </row>
        <row r="125">
          <cell r="G125">
            <v>210</v>
          </cell>
        </row>
        <row r="126">
          <cell r="G126">
            <v>480</v>
          </cell>
        </row>
        <row r="127">
          <cell r="G127">
            <v>50</v>
          </cell>
        </row>
        <row r="128">
          <cell r="G128">
            <v>30</v>
          </cell>
        </row>
        <row r="129">
          <cell r="G129">
            <v>2</v>
          </cell>
        </row>
        <row r="130">
          <cell r="G130">
            <v>5</v>
          </cell>
        </row>
        <row r="131">
          <cell r="G131">
            <v>6</v>
          </cell>
        </row>
        <row r="132">
          <cell r="G132">
            <v>5</v>
          </cell>
        </row>
        <row r="133">
          <cell r="G133">
            <v>0</v>
          </cell>
        </row>
        <row r="134">
          <cell r="G134">
            <v>8</v>
          </cell>
        </row>
        <row r="135">
          <cell r="G135">
            <v>44</v>
          </cell>
        </row>
        <row r="136">
          <cell r="G136">
            <v>3</v>
          </cell>
        </row>
        <row r="137">
          <cell r="G137">
            <v>1</v>
          </cell>
        </row>
        <row r="138">
          <cell r="G138">
            <v>1</v>
          </cell>
        </row>
        <row r="139">
          <cell r="G139">
            <v>5</v>
          </cell>
        </row>
        <row r="140">
          <cell r="G140">
            <v>5</v>
          </cell>
        </row>
        <row r="141">
          <cell r="G141">
            <v>4</v>
          </cell>
        </row>
        <row r="142">
          <cell r="G142">
            <v>0</v>
          </cell>
        </row>
        <row r="143">
          <cell r="G143">
            <v>2</v>
          </cell>
        </row>
        <row r="144">
          <cell r="G144">
            <v>10</v>
          </cell>
        </row>
        <row r="145">
          <cell r="G145">
            <v>10</v>
          </cell>
        </row>
        <row r="146">
          <cell r="G146">
            <v>10</v>
          </cell>
        </row>
        <row r="147">
          <cell r="G147">
            <v>1</v>
          </cell>
        </row>
        <row r="148">
          <cell r="G148">
            <v>30</v>
          </cell>
        </row>
        <row r="149">
          <cell r="G149">
            <v>0</v>
          </cell>
        </row>
        <row r="150">
          <cell r="G150">
            <v>1</v>
          </cell>
        </row>
        <row r="151">
          <cell r="G151">
            <v>6</v>
          </cell>
        </row>
        <row r="152">
          <cell r="G152">
            <v>40</v>
          </cell>
        </row>
        <row r="153">
          <cell r="G153">
            <v>3</v>
          </cell>
        </row>
        <row r="154">
          <cell r="G154">
            <v>1</v>
          </cell>
        </row>
        <row r="155">
          <cell r="G155">
            <v>3</v>
          </cell>
        </row>
        <row r="156">
          <cell r="G156">
            <v>1</v>
          </cell>
        </row>
        <row r="157">
          <cell r="G157">
            <v>2</v>
          </cell>
        </row>
        <row r="158">
          <cell r="G158">
            <v>2</v>
          </cell>
        </row>
        <row r="159">
          <cell r="G159">
            <v>10</v>
          </cell>
        </row>
        <row r="160">
          <cell r="G160">
            <v>0</v>
          </cell>
        </row>
        <row r="161">
          <cell r="G161">
            <v>20</v>
          </cell>
        </row>
        <row r="162">
          <cell r="G162">
            <v>25</v>
          </cell>
        </row>
        <row r="163">
          <cell r="G163">
            <v>55</v>
          </cell>
        </row>
        <row r="164">
          <cell r="G164">
            <v>55</v>
          </cell>
        </row>
        <row r="165">
          <cell r="G165">
            <v>55</v>
          </cell>
        </row>
        <row r="166">
          <cell r="G166">
            <v>55</v>
          </cell>
        </row>
        <row r="167">
          <cell r="G167">
            <v>5</v>
          </cell>
        </row>
        <row r="168">
          <cell r="G168">
            <v>5</v>
          </cell>
        </row>
        <row r="169">
          <cell r="G169">
            <v>5</v>
          </cell>
        </row>
        <row r="170">
          <cell r="G170">
            <v>5</v>
          </cell>
        </row>
        <row r="171">
          <cell r="G171">
            <v>50</v>
          </cell>
        </row>
        <row r="172">
          <cell r="G172">
            <v>25</v>
          </cell>
        </row>
        <row r="173">
          <cell r="G173">
            <v>0</v>
          </cell>
        </row>
        <row r="174">
          <cell r="G174">
            <v>20</v>
          </cell>
        </row>
        <row r="175">
          <cell r="G175">
            <v>50</v>
          </cell>
        </row>
        <row r="176">
          <cell r="G176">
            <v>10</v>
          </cell>
        </row>
        <row r="177">
          <cell r="G177">
            <v>2</v>
          </cell>
        </row>
        <row r="178">
          <cell r="G178">
            <v>21</v>
          </cell>
        </row>
        <row r="179">
          <cell r="G179">
            <v>30</v>
          </cell>
        </row>
        <row r="180">
          <cell r="G180">
            <v>4</v>
          </cell>
        </row>
        <row r="181">
          <cell r="G181">
            <v>0</v>
          </cell>
        </row>
        <row r="182">
          <cell r="G182">
            <v>50</v>
          </cell>
        </row>
        <row r="183">
          <cell r="G183">
            <v>25</v>
          </cell>
        </row>
        <row r="184">
          <cell r="G184">
            <v>20</v>
          </cell>
        </row>
        <row r="185">
          <cell r="G185">
            <v>10</v>
          </cell>
        </row>
        <row r="186">
          <cell r="G186">
            <v>3</v>
          </cell>
        </row>
        <row r="187">
          <cell r="G187">
            <v>15</v>
          </cell>
        </row>
        <row r="188">
          <cell r="G188">
            <v>0</v>
          </cell>
        </row>
        <row r="189">
          <cell r="G189">
            <v>15</v>
          </cell>
        </row>
        <row r="190">
          <cell r="G190">
            <v>10</v>
          </cell>
        </row>
        <row r="191">
          <cell r="G191">
            <v>25</v>
          </cell>
        </row>
        <row r="192">
          <cell r="G192">
            <v>2</v>
          </cell>
        </row>
        <row r="193">
          <cell r="G193">
            <v>50</v>
          </cell>
        </row>
        <row r="194">
          <cell r="G194">
            <v>60</v>
          </cell>
        </row>
        <row r="195">
          <cell r="G195">
            <v>10</v>
          </cell>
        </row>
        <row r="196">
          <cell r="G196">
            <v>50</v>
          </cell>
        </row>
        <row r="197">
          <cell r="G197">
            <v>24</v>
          </cell>
        </row>
        <row r="198">
          <cell r="G198">
            <v>16</v>
          </cell>
        </row>
        <row r="199">
          <cell r="G199">
            <v>16</v>
          </cell>
        </row>
        <row r="200">
          <cell r="G200">
            <v>16</v>
          </cell>
        </row>
        <row r="201">
          <cell r="G201">
            <v>8</v>
          </cell>
        </row>
        <row r="202">
          <cell r="G202">
            <v>8</v>
          </cell>
        </row>
        <row r="203">
          <cell r="G203">
            <v>8</v>
          </cell>
        </row>
        <row r="204">
          <cell r="G204">
            <v>0</v>
          </cell>
        </row>
        <row r="205">
          <cell r="G205">
            <v>7</v>
          </cell>
        </row>
        <row r="206">
          <cell r="G206">
            <v>40</v>
          </cell>
        </row>
        <row r="207">
          <cell r="G207">
            <v>20</v>
          </cell>
        </row>
        <row r="208">
          <cell r="G208">
            <v>6</v>
          </cell>
        </row>
        <row r="209">
          <cell r="G209">
            <v>6</v>
          </cell>
        </row>
        <row r="210">
          <cell r="G210">
            <v>0</v>
          </cell>
        </row>
        <row r="211">
          <cell r="G211">
            <v>50</v>
          </cell>
        </row>
        <row r="212">
          <cell r="G212">
            <v>0</v>
          </cell>
        </row>
        <row r="213">
          <cell r="G213">
            <v>20</v>
          </cell>
        </row>
        <row r="214">
          <cell r="G214">
            <v>9</v>
          </cell>
        </row>
        <row r="215">
          <cell r="G215">
            <v>50</v>
          </cell>
        </row>
        <row r="216">
          <cell r="G216">
            <v>175</v>
          </cell>
        </row>
        <row r="217">
          <cell r="G217">
            <v>25</v>
          </cell>
        </row>
        <row r="218">
          <cell r="G218">
            <v>10</v>
          </cell>
        </row>
        <row r="219">
          <cell r="G219">
            <v>0</v>
          </cell>
        </row>
        <row r="220">
          <cell r="G220">
            <v>20</v>
          </cell>
        </row>
        <row r="221">
          <cell r="G221">
            <v>1</v>
          </cell>
        </row>
        <row r="222">
          <cell r="G222">
            <v>30</v>
          </cell>
        </row>
        <row r="223">
          <cell r="G223">
            <v>20</v>
          </cell>
        </row>
        <row r="224">
          <cell r="G224">
            <v>25</v>
          </cell>
        </row>
        <row r="225">
          <cell r="G225">
            <v>15</v>
          </cell>
        </row>
        <row r="226">
          <cell r="G226">
            <v>1</v>
          </cell>
        </row>
        <row r="227">
          <cell r="G227">
            <v>6</v>
          </cell>
        </row>
        <row r="228">
          <cell r="G228">
            <v>30</v>
          </cell>
        </row>
        <row r="229">
          <cell r="G229">
            <v>8</v>
          </cell>
        </row>
        <row r="230">
          <cell r="G230">
            <v>60</v>
          </cell>
        </row>
        <row r="231">
          <cell r="G231">
            <v>0</v>
          </cell>
        </row>
        <row r="232">
          <cell r="G232">
            <v>1</v>
          </cell>
        </row>
        <row r="233">
          <cell r="G233">
            <v>5</v>
          </cell>
        </row>
        <row r="234">
          <cell r="G234">
            <v>3</v>
          </cell>
        </row>
        <row r="235">
          <cell r="G235">
            <v>0</v>
          </cell>
        </row>
        <row r="236">
          <cell r="G236">
            <v>35</v>
          </cell>
        </row>
        <row r="237">
          <cell r="G237">
            <v>10</v>
          </cell>
        </row>
        <row r="238">
          <cell r="G238">
            <v>10</v>
          </cell>
        </row>
        <row r="239">
          <cell r="G239">
            <v>100</v>
          </cell>
        </row>
        <row r="240">
          <cell r="G240">
            <v>3</v>
          </cell>
        </row>
        <row r="241">
          <cell r="G241">
            <v>2</v>
          </cell>
        </row>
        <row r="242">
          <cell r="G242">
            <v>30</v>
          </cell>
        </row>
        <row r="243">
          <cell r="G243">
            <v>30</v>
          </cell>
        </row>
        <row r="244">
          <cell r="G244">
            <v>50</v>
          </cell>
        </row>
        <row r="245">
          <cell r="G245">
            <v>1</v>
          </cell>
        </row>
        <row r="246">
          <cell r="G246">
            <v>1</v>
          </cell>
        </row>
        <row r="247">
          <cell r="G247">
            <v>0</v>
          </cell>
        </row>
        <row r="248">
          <cell r="G248">
            <v>20</v>
          </cell>
        </row>
        <row r="249">
          <cell r="G249">
            <v>8</v>
          </cell>
        </row>
        <row r="250">
          <cell r="G250">
            <v>5</v>
          </cell>
        </row>
        <row r="251">
          <cell r="G251">
            <v>3</v>
          </cell>
        </row>
        <row r="252">
          <cell r="G252">
            <v>1</v>
          </cell>
        </row>
        <row r="253">
          <cell r="G253">
            <v>1</v>
          </cell>
        </row>
        <row r="254">
          <cell r="G254">
            <v>1</v>
          </cell>
        </row>
        <row r="255">
          <cell r="G255">
            <v>1</v>
          </cell>
        </row>
        <row r="256">
          <cell r="G256">
            <v>1</v>
          </cell>
        </row>
        <row r="257">
          <cell r="G257">
            <v>1</v>
          </cell>
        </row>
        <row r="258">
          <cell r="G258">
            <v>40</v>
          </cell>
        </row>
        <row r="259">
          <cell r="G259">
            <v>35</v>
          </cell>
        </row>
        <row r="260">
          <cell r="G260">
            <v>125</v>
          </cell>
        </row>
        <row r="261">
          <cell r="G261">
            <v>0</v>
          </cell>
        </row>
        <row r="262">
          <cell r="G262">
            <v>50</v>
          </cell>
        </row>
        <row r="263">
          <cell r="G263">
            <v>0</v>
          </cell>
        </row>
        <row r="264">
          <cell r="G264">
            <v>20</v>
          </cell>
        </row>
        <row r="265">
          <cell r="G265">
            <v>4</v>
          </cell>
        </row>
        <row r="266">
          <cell r="G266">
            <v>5</v>
          </cell>
        </row>
        <row r="267">
          <cell r="G267">
            <v>5</v>
          </cell>
        </row>
        <row r="268">
          <cell r="G268">
            <v>5</v>
          </cell>
        </row>
        <row r="269">
          <cell r="G269">
            <v>5</v>
          </cell>
        </row>
        <row r="270">
          <cell r="G270">
            <v>4</v>
          </cell>
        </row>
        <row r="271">
          <cell r="G271">
            <v>150</v>
          </cell>
        </row>
        <row r="272">
          <cell r="G272">
            <v>150</v>
          </cell>
        </row>
        <row r="273">
          <cell r="G273">
            <v>5</v>
          </cell>
        </row>
        <row r="274">
          <cell r="G274">
            <v>25</v>
          </cell>
        </row>
        <row r="275">
          <cell r="G275">
            <v>4</v>
          </cell>
        </row>
        <row r="276">
          <cell r="G276">
            <v>50</v>
          </cell>
        </row>
        <row r="277">
          <cell r="G277">
            <v>30</v>
          </cell>
        </row>
        <row r="278">
          <cell r="G278">
            <v>15</v>
          </cell>
        </row>
        <row r="279">
          <cell r="G279">
            <v>100</v>
          </cell>
        </row>
        <row r="280">
          <cell r="G280">
            <v>2</v>
          </cell>
        </row>
        <row r="281">
          <cell r="G281">
            <v>0</v>
          </cell>
        </row>
        <row r="282">
          <cell r="G282">
            <v>12</v>
          </cell>
        </row>
        <row r="283">
          <cell r="G283">
            <v>3</v>
          </cell>
        </row>
        <row r="284">
          <cell r="G284">
            <v>3</v>
          </cell>
        </row>
        <row r="285">
          <cell r="G285">
            <v>5</v>
          </cell>
        </row>
        <row r="286">
          <cell r="G286">
            <v>20</v>
          </cell>
        </row>
        <row r="287">
          <cell r="G287">
            <v>50</v>
          </cell>
        </row>
        <row r="288">
          <cell r="G288">
            <v>11</v>
          </cell>
        </row>
        <row r="289">
          <cell r="G289">
            <v>10</v>
          </cell>
        </row>
        <row r="290">
          <cell r="G290">
            <v>20</v>
          </cell>
        </row>
        <row r="291">
          <cell r="G291">
            <v>30</v>
          </cell>
        </row>
        <row r="292">
          <cell r="G292">
            <v>10</v>
          </cell>
        </row>
        <row r="293">
          <cell r="G293">
            <v>10</v>
          </cell>
        </row>
        <row r="294">
          <cell r="G294">
            <v>0</v>
          </cell>
        </row>
        <row r="295">
          <cell r="G295">
            <v>2</v>
          </cell>
        </row>
        <row r="296">
          <cell r="G296">
            <v>2</v>
          </cell>
        </row>
        <row r="297">
          <cell r="G297">
            <v>2</v>
          </cell>
        </row>
        <row r="298">
          <cell r="G298">
            <v>2</v>
          </cell>
        </row>
        <row r="299">
          <cell r="G299">
            <v>2</v>
          </cell>
        </row>
        <row r="300">
          <cell r="G300">
            <v>1</v>
          </cell>
        </row>
        <row r="301">
          <cell r="G301">
            <v>40</v>
          </cell>
        </row>
        <row r="302">
          <cell r="G302">
            <v>1</v>
          </cell>
        </row>
        <row r="303">
          <cell r="G303">
            <v>1</v>
          </cell>
        </row>
        <row r="304">
          <cell r="G304">
            <v>1</v>
          </cell>
        </row>
        <row r="305">
          <cell r="G305">
            <v>300</v>
          </cell>
        </row>
        <row r="306">
          <cell r="G306">
            <v>1</v>
          </cell>
        </row>
        <row r="307">
          <cell r="G307">
            <v>0</v>
          </cell>
        </row>
        <row r="308">
          <cell r="G308">
            <v>10</v>
          </cell>
        </row>
        <row r="309">
          <cell r="G309">
            <v>20</v>
          </cell>
        </row>
        <row r="310">
          <cell r="G310">
            <v>1</v>
          </cell>
        </row>
        <row r="311">
          <cell r="G311">
            <v>2</v>
          </cell>
        </row>
        <row r="312">
          <cell r="G312">
            <v>5</v>
          </cell>
        </row>
        <row r="313">
          <cell r="G313">
            <v>1</v>
          </cell>
        </row>
        <row r="314">
          <cell r="G314">
            <v>20</v>
          </cell>
        </row>
        <row r="315">
          <cell r="G315">
            <v>20</v>
          </cell>
        </row>
        <row r="316">
          <cell r="G316">
            <v>50</v>
          </cell>
        </row>
        <row r="317">
          <cell r="G317">
            <v>50</v>
          </cell>
        </row>
        <row r="318">
          <cell r="G318">
            <v>70</v>
          </cell>
        </row>
        <row r="319">
          <cell r="G319">
            <v>10</v>
          </cell>
        </row>
        <row r="320">
          <cell r="G320">
            <v>1</v>
          </cell>
        </row>
        <row r="321">
          <cell r="G321">
            <v>7</v>
          </cell>
        </row>
        <row r="322">
          <cell r="G322">
            <v>20</v>
          </cell>
        </row>
        <row r="323">
          <cell r="G323">
            <v>20</v>
          </cell>
        </row>
        <row r="324">
          <cell r="G324">
            <v>5</v>
          </cell>
        </row>
        <row r="325">
          <cell r="G325">
            <v>0</v>
          </cell>
        </row>
        <row r="326">
          <cell r="G326">
            <v>10</v>
          </cell>
        </row>
        <row r="327">
          <cell r="G327">
            <v>58</v>
          </cell>
        </row>
        <row r="328">
          <cell r="G328">
            <v>40</v>
          </cell>
        </row>
        <row r="329">
          <cell r="G329">
            <v>10</v>
          </cell>
        </row>
        <row r="330">
          <cell r="G330">
            <v>6</v>
          </cell>
        </row>
        <row r="331">
          <cell r="G331">
            <v>20</v>
          </cell>
        </row>
        <row r="332">
          <cell r="G332">
            <v>20</v>
          </cell>
        </row>
        <row r="333">
          <cell r="G333">
            <v>40</v>
          </cell>
        </row>
        <row r="334">
          <cell r="G334">
            <v>0</v>
          </cell>
        </row>
        <row r="335">
          <cell r="G335">
            <v>50</v>
          </cell>
        </row>
        <row r="336">
          <cell r="G336">
            <v>0</v>
          </cell>
        </row>
        <row r="337">
          <cell r="G337">
            <v>20</v>
          </cell>
        </row>
        <row r="338">
          <cell r="G338">
            <v>1</v>
          </cell>
        </row>
        <row r="339">
          <cell r="G339">
            <v>3</v>
          </cell>
        </row>
        <row r="340">
          <cell r="G340">
            <v>3</v>
          </cell>
        </row>
        <row r="341">
          <cell r="G341">
            <v>150</v>
          </cell>
        </row>
        <row r="342">
          <cell r="G342">
            <v>480</v>
          </cell>
        </row>
        <row r="343">
          <cell r="G343">
            <v>5</v>
          </cell>
        </row>
        <row r="344">
          <cell r="G344">
            <v>0</v>
          </cell>
        </row>
        <row r="345">
          <cell r="G345">
            <v>20</v>
          </cell>
        </row>
        <row r="346">
          <cell r="G346">
            <v>50</v>
          </cell>
        </row>
        <row r="347">
          <cell r="G347">
            <v>60</v>
          </cell>
        </row>
        <row r="348">
          <cell r="G348">
            <v>3</v>
          </cell>
        </row>
        <row r="349">
          <cell r="G349">
            <v>30</v>
          </cell>
        </row>
        <row r="350">
          <cell r="G350">
            <v>0</v>
          </cell>
        </row>
        <row r="351">
          <cell r="G351">
            <v>9</v>
          </cell>
        </row>
        <row r="352">
          <cell r="G352">
            <v>2</v>
          </cell>
        </row>
        <row r="353">
          <cell r="G353">
            <v>20</v>
          </cell>
        </row>
        <row r="354">
          <cell r="G354">
            <v>1</v>
          </cell>
        </row>
        <row r="355">
          <cell r="G355">
            <v>35</v>
          </cell>
        </row>
        <row r="356">
          <cell r="G356">
            <v>2</v>
          </cell>
        </row>
        <row r="357">
          <cell r="G357">
            <v>2</v>
          </cell>
        </row>
        <row r="358">
          <cell r="G358">
            <v>2</v>
          </cell>
        </row>
        <row r="359">
          <cell r="G359">
            <v>1</v>
          </cell>
        </row>
        <row r="360">
          <cell r="G360">
            <v>10</v>
          </cell>
        </row>
        <row r="361">
          <cell r="G361">
            <v>210</v>
          </cell>
        </row>
        <row r="362">
          <cell r="G362">
            <v>20</v>
          </cell>
        </row>
        <row r="363">
          <cell r="G363">
            <v>1</v>
          </cell>
        </row>
        <row r="364">
          <cell r="G364">
            <v>30</v>
          </cell>
        </row>
        <row r="365">
          <cell r="G365">
            <v>3</v>
          </cell>
        </row>
        <row r="366">
          <cell r="G366">
            <v>15</v>
          </cell>
        </row>
        <row r="367">
          <cell r="G367">
            <v>9</v>
          </cell>
        </row>
        <row r="368">
          <cell r="G368">
            <v>1</v>
          </cell>
        </row>
        <row r="369">
          <cell r="G369">
            <v>0</v>
          </cell>
        </row>
        <row r="370">
          <cell r="G370">
            <v>15</v>
          </cell>
        </row>
        <row r="371">
          <cell r="G371">
            <v>15</v>
          </cell>
        </row>
        <row r="372">
          <cell r="G372">
            <v>15</v>
          </cell>
        </row>
        <row r="373">
          <cell r="G373">
            <v>20</v>
          </cell>
        </row>
        <row r="374">
          <cell r="G374">
            <v>0</v>
          </cell>
        </row>
        <row r="375">
          <cell r="G375">
            <v>70</v>
          </cell>
        </row>
        <row r="376">
          <cell r="G376">
            <v>0</v>
          </cell>
        </row>
        <row r="377">
          <cell r="G377">
            <v>50</v>
          </cell>
        </row>
        <row r="378">
          <cell r="G378">
            <v>20</v>
          </cell>
        </row>
        <row r="379">
          <cell r="G379">
            <v>175</v>
          </cell>
        </row>
        <row r="380">
          <cell r="G380">
            <v>50</v>
          </cell>
        </row>
        <row r="381">
          <cell r="G381">
            <v>1</v>
          </cell>
        </row>
        <row r="382">
          <cell r="G382">
            <v>50</v>
          </cell>
        </row>
        <row r="383">
          <cell r="G383">
            <v>10</v>
          </cell>
        </row>
        <row r="384">
          <cell r="G384">
            <v>0</v>
          </cell>
        </row>
        <row r="385">
          <cell r="G385">
            <v>20</v>
          </cell>
        </row>
        <row r="386">
          <cell r="G386">
            <v>50</v>
          </cell>
        </row>
        <row r="387">
          <cell r="G387">
            <v>27</v>
          </cell>
        </row>
        <row r="388">
          <cell r="G388">
            <v>150</v>
          </cell>
        </row>
        <row r="389">
          <cell r="G389">
            <v>30</v>
          </cell>
        </row>
        <row r="390">
          <cell r="G390">
            <v>30</v>
          </cell>
        </row>
        <row r="391">
          <cell r="G391">
            <v>0</v>
          </cell>
        </row>
        <row r="392">
          <cell r="G392">
            <v>4</v>
          </cell>
        </row>
        <row r="393">
          <cell r="G393">
            <v>2</v>
          </cell>
        </row>
        <row r="394">
          <cell r="G394">
            <v>1</v>
          </cell>
        </row>
        <row r="395">
          <cell r="G395">
            <v>30</v>
          </cell>
        </row>
        <row r="396">
          <cell r="G396">
            <v>33</v>
          </cell>
        </row>
        <row r="397">
          <cell r="G397">
            <v>9</v>
          </cell>
        </row>
        <row r="398">
          <cell r="G398">
            <v>0</v>
          </cell>
        </row>
        <row r="399">
          <cell r="G399">
            <v>10</v>
          </cell>
        </row>
        <row r="400">
          <cell r="G400">
            <v>10</v>
          </cell>
        </row>
        <row r="401">
          <cell r="G401">
            <v>10</v>
          </cell>
        </row>
        <row r="402">
          <cell r="G402">
            <v>5</v>
          </cell>
        </row>
        <row r="403">
          <cell r="G403">
            <v>15</v>
          </cell>
        </row>
        <row r="404">
          <cell r="G404">
            <v>0</v>
          </cell>
        </row>
        <row r="405">
          <cell r="G405">
            <v>1</v>
          </cell>
        </row>
        <row r="406">
          <cell r="G406">
            <v>3</v>
          </cell>
        </row>
        <row r="407">
          <cell r="G407">
            <v>40</v>
          </cell>
        </row>
        <row r="408">
          <cell r="G408">
            <v>30</v>
          </cell>
        </row>
        <row r="409">
          <cell r="G409">
            <v>2</v>
          </cell>
        </row>
        <row r="410">
          <cell r="G410">
            <v>1</v>
          </cell>
        </row>
        <row r="411">
          <cell r="G411">
            <v>30</v>
          </cell>
        </row>
        <row r="412">
          <cell r="G412">
            <v>60</v>
          </cell>
        </row>
        <row r="413">
          <cell r="G413">
            <v>0</v>
          </cell>
        </row>
        <row r="414">
          <cell r="G414">
            <v>20</v>
          </cell>
        </row>
        <row r="415">
          <cell r="G415">
            <v>3</v>
          </cell>
        </row>
        <row r="416">
          <cell r="G416">
            <v>50</v>
          </cell>
        </row>
        <row r="417">
          <cell r="G417">
            <v>10</v>
          </cell>
        </row>
        <row r="418">
          <cell r="G418">
            <v>15</v>
          </cell>
        </row>
        <row r="419">
          <cell r="G419">
            <v>10</v>
          </cell>
        </row>
        <row r="420">
          <cell r="G420">
            <v>150</v>
          </cell>
        </row>
        <row r="421">
          <cell r="G421">
            <v>50</v>
          </cell>
        </row>
        <row r="422">
          <cell r="G422">
            <v>1</v>
          </cell>
        </row>
        <row r="423">
          <cell r="G423">
            <v>60</v>
          </cell>
        </row>
        <row r="424">
          <cell r="G424">
            <v>1</v>
          </cell>
        </row>
        <row r="425">
          <cell r="G425">
            <v>1</v>
          </cell>
        </row>
        <row r="426">
          <cell r="G426">
            <v>1</v>
          </cell>
        </row>
        <row r="427">
          <cell r="G427">
            <v>1</v>
          </cell>
        </row>
        <row r="428">
          <cell r="G428">
            <v>0</v>
          </cell>
        </row>
        <row r="429">
          <cell r="G429">
            <v>15</v>
          </cell>
        </row>
        <row r="430">
          <cell r="G430">
            <v>1</v>
          </cell>
        </row>
        <row r="431">
          <cell r="G431">
            <v>15</v>
          </cell>
        </row>
        <row r="432">
          <cell r="G432">
            <v>20</v>
          </cell>
        </row>
        <row r="433">
          <cell r="G433">
            <v>50</v>
          </cell>
        </row>
        <row r="434">
          <cell r="G434">
            <v>10</v>
          </cell>
        </row>
        <row r="435">
          <cell r="G435">
            <v>30</v>
          </cell>
        </row>
        <row r="436">
          <cell r="G436">
            <v>13</v>
          </cell>
        </row>
        <row r="437">
          <cell r="G437">
            <v>0</v>
          </cell>
        </row>
        <row r="438">
          <cell r="G438">
            <v>5</v>
          </cell>
        </row>
        <row r="439">
          <cell r="G439">
            <v>5</v>
          </cell>
        </row>
        <row r="440">
          <cell r="G440">
            <v>35</v>
          </cell>
        </row>
        <row r="441">
          <cell r="G441">
            <v>2</v>
          </cell>
        </row>
        <row r="442">
          <cell r="G442">
            <v>7</v>
          </cell>
        </row>
        <row r="443">
          <cell r="G443">
            <v>0</v>
          </cell>
        </row>
        <row r="444">
          <cell r="G444">
            <v>50</v>
          </cell>
        </row>
        <row r="445">
          <cell r="G445">
            <v>6</v>
          </cell>
        </row>
        <row r="446">
          <cell r="G446">
            <v>1</v>
          </cell>
        </row>
        <row r="447">
          <cell r="G447">
            <v>2</v>
          </cell>
        </row>
        <row r="448">
          <cell r="G448">
            <v>20</v>
          </cell>
        </row>
        <row r="449">
          <cell r="G449">
            <v>8</v>
          </cell>
        </row>
        <row r="450">
          <cell r="G450">
            <v>10</v>
          </cell>
        </row>
        <row r="451">
          <cell r="G451">
            <v>50</v>
          </cell>
        </row>
        <row r="452">
          <cell r="G452">
            <v>0</v>
          </cell>
        </row>
        <row r="453">
          <cell r="G453">
            <v>40</v>
          </cell>
        </row>
        <row r="454">
          <cell r="G454">
            <v>92</v>
          </cell>
        </row>
        <row r="455">
          <cell r="G455">
            <v>15</v>
          </cell>
        </row>
        <row r="456">
          <cell r="G456">
            <v>100</v>
          </cell>
        </row>
        <row r="457">
          <cell r="G457">
            <v>1</v>
          </cell>
        </row>
        <row r="458">
          <cell r="G458">
            <v>1</v>
          </cell>
        </row>
        <row r="459">
          <cell r="G459">
            <v>50</v>
          </cell>
        </row>
        <row r="460">
          <cell r="G460">
            <v>0</v>
          </cell>
        </row>
        <row r="461">
          <cell r="G461">
            <v>20</v>
          </cell>
        </row>
        <row r="462">
          <cell r="G462">
            <v>10</v>
          </cell>
        </row>
        <row r="463">
          <cell r="G463">
            <v>30</v>
          </cell>
        </row>
        <row r="464">
          <cell r="G464">
            <v>10</v>
          </cell>
        </row>
        <row r="465">
          <cell r="G465">
            <v>175</v>
          </cell>
        </row>
        <row r="466">
          <cell r="G466">
            <v>125</v>
          </cell>
        </row>
        <row r="467">
          <cell r="G467">
            <v>32</v>
          </cell>
        </row>
        <row r="468">
          <cell r="G468">
            <v>0</v>
          </cell>
        </row>
        <row r="469">
          <cell r="G469">
            <v>20</v>
          </cell>
        </row>
        <row r="470">
          <cell r="G470">
            <v>50</v>
          </cell>
        </row>
        <row r="471">
          <cell r="G471">
            <v>25</v>
          </cell>
        </row>
        <row r="472">
          <cell r="G472">
            <v>30</v>
          </cell>
        </row>
        <row r="473">
          <cell r="G473">
            <v>10</v>
          </cell>
        </row>
        <row r="474">
          <cell r="G474">
            <v>10</v>
          </cell>
        </row>
        <row r="475">
          <cell r="G475">
            <v>0</v>
          </cell>
        </row>
        <row r="476">
          <cell r="G476">
            <v>50</v>
          </cell>
        </row>
        <row r="477">
          <cell r="G477">
            <v>2</v>
          </cell>
        </row>
        <row r="478">
          <cell r="G478">
            <v>1</v>
          </cell>
        </row>
        <row r="479">
          <cell r="G479">
            <v>1</v>
          </cell>
        </row>
        <row r="480">
          <cell r="G480">
            <v>40</v>
          </cell>
        </row>
        <row r="481">
          <cell r="G481">
            <v>20</v>
          </cell>
        </row>
        <row r="482">
          <cell r="G482">
            <v>0</v>
          </cell>
        </row>
        <row r="483">
          <cell r="G483">
            <v>4</v>
          </cell>
        </row>
        <row r="484">
          <cell r="G484">
            <v>3</v>
          </cell>
        </row>
        <row r="485">
          <cell r="G485">
            <v>3</v>
          </cell>
        </row>
        <row r="486">
          <cell r="G486">
            <v>3</v>
          </cell>
        </row>
        <row r="487">
          <cell r="G487">
            <v>10</v>
          </cell>
        </row>
        <row r="488">
          <cell r="G488">
            <v>3</v>
          </cell>
        </row>
        <row r="489">
          <cell r="G489">
            <v>20</v>
          </cell>
        </row>
        <row r="490">
          <cell r="G490">
            <v>30</v>
          </cell>
        </row>
        <row r="491">
          <cell r="G491">
            <v>70</v>
          </cell>
        </row>
        <row r="492">
          <cell r="G492">
            <v>20</v>
          </cell>
        </row>
        <row r="493">
          <cell r="G493">
            <v>0</v>
          </cell>
        </row>
        <row r="494">
          <cell r="G494">
            <v>7</v>
          </cell>
        </row>
        <row r="495">
          <cell r="G495">
            <v>24</v>
          </cell>
        </row>
        <row r="496">
          <cell r="G496">
            <v>1</v>
          </cell>
        </row>
        <row r="497">
          <cell r="G497">
            <v>1</v>
          </cell>
        </row>
        <row r="498">
          <cell r="G498">
            <v>3</v>
          </cell>
        </row>
        <row r="499">
          <cell r="G499">
            <v>42</v>
          </cell>
        </row>
        <row r="500">
          <cell r="G500">
            <v>5</v>
          </cell>
        </row>
        <row r="501">
          <cell r="G501">
            <v>5</v>
          </cell>
        </row>
        <row r="502">
          <cell r="G502">
            <v>0</v>
          </cell>
        </row>
        <row r="503">
          <cell r="G503">
            <v>20</v>
          </cell>
        </row>
        <row r="504">
          <cell r="G504">
            <v>20</v>
          </cell>
        </row>
        <row r="505">
          <cell r="G505">
            <v>0</v>
          </cell>
        </row>
        <row r="506">
          <cell r="G506">
            <v>20</v>
          </cell>
        </row>
        <row r="507">
          <cell r="G507">
            <v>50</v>
          </cell>
        </row>
        <row r="508">
          <cell r="G508">
            <v>480</v>
          </cell>
        </row>
        <row r="509">
          <cell r="G509">
            <v>30</v>
          </cell>
        </row>
        <row r="510">
          <cell r="G510">
            <v>0</v>
          </cell>
        </row>
        <row r="511">
          <cell r="G511">
            <v>70</v>
          </cell>
        </row>
        <row r="512">
          <cell r="G512">
            <v>0</v>
          </cell>
        </row>
        <row r="513">
          <cell r="G513">
            <v>20</v>
          </cell>
        </row>
        <row r="514">
          <cell r="G514">
            <v>1</v>
          </cell>
        </row>
        <row r="515">
          <cell r="G515">
            <v>100</v>
          </cell>
        </row>
        <row r="516">
          <cell r="G516">
            <v>30</v>
          </cell>
        </row>
        <row r="517">
          <cell r="G517">
            <v>0</v>
          </cell>
        </row>
        <row r="518">
          <cell r="G518">
            <v>50</v>
          </cell>
        </row>
        <row r="519">
          <cell r="G519">
            <v>20</v>
          </cell>
        </row>
        <row r="520">
          <cell r="G520">
            <v>20</v>
          </cell>
        </row>
        <row r="521">
          <cell r="G521">
            <v>100</v>
          </cell>
        </row>
        <row r="522">
          <cell r="G522">
            <v>0</v>
          </cell>
        </row>
        <row r="523">
          <cell r="G523">
            <v>30</v>
          </cell>
        </row>
        <row r="524">
          <cell r="G524">
            <v>0</v>
          </cell>
        </row>
        <row r="525">
          <cell r="G525">
            <v>30</v>
          </cell>
        </row>
        <row r="526">
          <cell r="G526">
            <v>0</v>
          </cell>
        </row>
        <row r="527">
          <cell r="G527">
            <v>20</v>
          </cell>
        </row>
        <row r="528">
          <cell r="G528">
            <v>10</v>
          </cell>
        </row>
        <row r="529">
          <cell r="G529">
            <v>4</v>
          </cell>
        </row>
        <row r="530">
          <cell r="G530">
            <v>10</v>
          </cell>
        </row>
        <row r="531">
          <cell r="G531">
            <v>50</v>
          </cell>
        </row>
        <row r="532">
          <cell r="G532">
            <v>30</v>
          </cell>
        </row>
        <row r="533">
          <cell r="G533">
            <v>10</v>
          </cell>
        </row>
        <row r="534">
          <cell r="G534">
            <v>10</v>
          </cell>
        </row>
        <row r="535">
          <cell r="G535">
            <v>9</v>
          </cell>
        </row>
        <row r="536">
          <cell r="G536">
            <v>15</v>
          </cell>
        </row>
        <row r="537">
          <cell r="G537">
            <v>40</v>
          </cell>
        </row>
        <row r="538">
          <cell r="G538">
            <v>0</v>
          </cell>
        </row>
        <row r="539">
          <cell r="G539">
            <v>3</v>
          </cell>
        </row>
        <row r="540">
          <cell r="G540">
            <v>3</v>
          </cell>
        </row>
        <row r="541">
          <cell r="G541">
            <v>20</v>
          </cell>
        </row>
        <row r="542">
          <cell r="G542">
            <v>25</v>
          </cell>
        </row>
        <row r="543">
          <cell r="G543">
            <v>10</v>
          </cell>
        </row>
        <row r="544">
          <cell r="G544">
            <v>25</v>
          </cell>
        </row>
        <row r="545">
          <cell r="G545">
            <v>30</v>
          </cell>
        </row>
        <row r="546">
          <cell r="G546">
            <v>0</v>
          </cell>
        </row>
        <row r="547">
          <cell r="G547">
            <v>10</v>
          </cell>
        </row>
        <row r="548">
          <cell r="G548">
            <v>0</v>
          </cell>
        </row>
        <row r="549">
          <cell r="G549">
            <v>25</v>
          </cell>
        </row>
        <row r="550">
          <cell r="G550">
            <v>15</v>
          </cell>
        </row>
        <row r="551">
          <cell r="G551">
            <v>10</v>
          </cell>
        </row>
        <row r="552">
          <cell r="G552">
            <v>2</v>
          </cell>
        </row>
        <row r="553">
          <cell r="G553">
            <v>5</v>
          </cell>
        </row>
        <row r="554">
          <cell r="G554">
            <v>5</v>
          </cell>
        </row>
        <row r="555">
          <cell r="G555">
            <v>50</v>
          </cell>
        </row>
        <row r="556">
          <cell r="G556">
            <v>60</v>
          </cell>
        </row>
        <row r="557">
          <cell r="G557">
            <v>20</v>
          </cell>
        </row>
        <row r="558">
          <cell r="G558">
            <v>60</v>
          </cell>
        </row>
        <row r="559">
          <cell r="G559">
            <v>25</v>
          </cell>
        </row>
        <row r="560">
          <cell r="G560">
            <v>10</v>
          </cell>
        </row>
        <row r="561">
          <cell r="G561">
            <v>0</v>
          </cell>
        </row>
        <row r="562">
          <cell r="G562">
            <v>10</v>
          </cell>
        </row>
        <row r="563">
          <cell r="G563">
            <v>0</v>
          </cell>
        </row>
        <row r="564">
          <cell r="G564">
            <v>20</v>
          </cell>
        </row>
        <row r="565">
          <cell r="G565">
            <v>5</v>
          </cell>
        </row>
        <row r="566">
          <cell r="G566">
            <v>1</v>
          </cell>
        </row>
        <row r="567">
          <cell r="G567">
            <v>100</v>
          </cell>
        </row>
        <row r="568">
          <cell r="G568">
            <v>20</v>
          </cell>
        </row>
        <row r="569">
          <cell r="G569">
            <v>0</v>
          </cell>
        </row>
        <row r="570">
          <cell r="G570">
            <v>20</v>
          </cell>
        </row>
        <row r="571">
          <cell r="G571">
            <v>25</v>
          </cell>
        </row>
        <row r="572">
          <cell r="G572">
            <v>2</v>
          </cell>
        </row>
        <row r="573">
          <cell r="G573">
            <v>30</v>
          </cell>
        </row>
        <row r="574">
          <cell r="G574">
            <v>0</v>
          </cell>
        </row>
        <row r="575">
          <cell r="G575">
            <v>1</v>
          </cell>
        </row>
        <row r="576">
          <cell r="G576">
            <v>0</v>
          </cell>
        </row>
        <row r="577">
          <cell r="G577">
            <v>125</v>
          </cell>
        </row>
        <row r="578">
          <cell r="G578">
            <v>10</v>
          </cell>
        </row>
        <row r="579">
          <cell r="G579">
            <v>30</v>
          </cell>
        </row>
        <row r="580">
          <cell r="G580">
            <v>0</v>
          </cell>
        </row>
        <row r="581">
          <cell r="G581">
            <v>150</v>
          </cell>
        </row>
        <row r="582">
          <cell r="G582">
            <v>35</v>
          </cell>
        </row>
        <row r="583">
          <cell r="G583">
            <v>20</v>
          </cell>
        </row>
        <row r="584">
          <cell r="G584">
            <v>0</v>
          </cell>
        </row>
        <row r="585">
          <cell r="G585">
            <v>3</v>
          </cell>
        </row>
        <row r="586">
          <cell r="G586">
            <v>5</v>
          </cell>
        </row>
        <row r="587">
          <cell r="G587">
            <v>20</v>
          </cell>
        </row>
        <row r="588">
          <cell r="G588">
            <v>0</v>
          </cell>
        </row>
        <row r="589">
          <cell r="G589">
            <v>20</v>
          </cell>
        </row>
        <row r="590">
          <cell r="G590">
            <v>100</v>
          </cell>
        </row>
        <row r="591">
          <cell r="G591">
            <v>30</v>
          </cell>
        </row>
        <row r="592">
          <cell r="G592">
            <v>0</v>
          </cell>
        </row>
        <row r="593">
          <cell r="G593">
            <v>1</v>
          </cell>
        </row>
        <row r="594">
          <cell r="G594">
            <v>0</v>
          </cell>
        </row>
        <row r="595">
          <cell r="G595">
            <v>20</v>
          </cell>
        </row>
        <row r="596">
          <cell r="G596">
            <v>20</v>
          </cell>
        </row>
        <row r="597">
          <cell r="G597">
            <v>175</v>
          </cell>
        </row>
        <row r="598">
          <cell r="G598">
            <v>5</v>
          </cell>
        </row>
        <row r="599">
          <cell r="G599">
            <v>70</v>
          </cell>
        </row>
        <row r="600">
          <cell r="G600">
            <v>0</v>
          </cell>
        </row>
        <row r="601">
          <cell r="G601">
            <v>24</v>
          </cell>
        </row>
        <row r="602">
          <cell r="G602">
            <v>0</v>
          </cell>
        </row>
        <row r="603">
          <cell r="G603">
            <v>25</v>
          </cell>
        </row>
        <row r="604">
          <cell r="G604">
            <v>0</v>
          </cell>
        </row>
        <row r="605">
          <cell r="G605">
            <v>20</v>
          </cell>
        </row>
        <row r="606">
          <cell r="G606">
            <v>10</v>
          </cell>
        </row>
        <row r="607">
          <cell r="G607">
            <v>10</v>
          </cell>
        </row>
        <row r="608">
          <cell r="G608">
            <v>10</v>
          </cell>
        </row>
        <row r="609">
          <cell r="G609">
            <v>30</v>
          </cell>
        </row>
        <row r="610">
          <cell r="G610">
            <v>0</v>
          </cell>
        </row>
        <row r="611">
          <cell r="G611">
            <v>50</v>
          </cell>
        </row>
        <row r="612">
          <cell r="G612">
            <v>20</v>
          </cell>
        </row>
        <row r="613">
          <cell r="G613">
            <v>0</v>
          </cell>
        </row>
        <row r="614">
          <cell r="G614">
            <v>4</v>
          </cell>
        </row>
        <row r="615">
          <cell r="G615">
            <v>150</v>
          </cell>
        </row>
        <row r="616">
          <cell r="G616">
            <v>9</v>
          </cell>
        </row>
        <row r="617">
          <cell r="G617">
            <v>100</v>
          </cell>
        </row>
        <row r="618">
          <cell r="G618">
            <v>0</v>
          </cell>
        </row>
        <row r="619">
          <cell r="G619">
            <v>70</v>
          </cell>
        </row>
        <row r="620">
          <cell r="G620">
            <v>0</v>
          </cell>
        </row>
        <row r="621">
          <cell r="G621">
            <v>20</v>
          </cell>
        </row>
        <row r="622">
          <cell r="G622">
            <v>15</v>
          </cell>
        </row>
        <row r="623">
          <cell r="G623">
            <v>4</v>
          </cell>
        </row>
        <row r="624">
          <cell r="G624">
            <v>25</v>
          </cell>
        </row>
        <row r="625">
          <cell r="G625">
            <v>0</v>
          </cell>
        </row>
        <row r="626">
          <cell r="G626">
            <v>20</v>
          </cell>
        </row>
        <row r="627">
          <cell r="G627">
            <v>30</v>
          </cell>
        </row>
        <row r="628">
          <cell r="G628">
            <v>0</v>
          </cell>
        </row>
        <row r="629">
          <cell r="G629">
            <v>10</v>
          </cell>
        </row>
        <row r="630">
          <cell r="G630">
            <v>0</v>
          </cell>
        </row>
        <row r="631">
          <cell r="G631">
            <v>50</v>
          </cell>
        </row>
        <row r="632">
          <cell r="G632">
            <v>10</v>
          </cell>
        </row>
        <row r="633">
          <cell r="G633">
            <v>15</v>
          </cell>
        </row>
        <row r="634">
          <cell r="G634">
            <v>10</v>
          </cell>
        </row>
        <row r="635">
          <cell r="G635">
            <v>175</v>
          </cell>
        </row>
        <row r="636">
          <cell r="G636">
            <v>50</v>
          </cell>
        </row>
        <row r="637">
          <cell r="G637">
            <v>60</v>
          </cell>
        </row>
        <row r="638">
          <cell r="G638">
            <v>10</v>
          </cell>
        </row>
        <row r="639">
          <cell r="G639">
            <v>25</v>
          </cell>
        </row>
        <row r="640">
          <cell r="G640">
            <v>15</v>
          </cell>
        </row>
        <row r="641">
          <cell r="G641">
            <v>0</v>
          </cell>
        </row>
        <row r="642">
          <cell r="G642">
            <v>25</v>
          </cell>
        </row>
        <row r="643">
          <cell r="G643">
            <v>26</v>
          </cell>
        </row>
        <row r="644">
          <cell r="G644">
            <v>20</v>
          </cell>
        </row>
        <row r="645">
          <cell r="G645">
            <v>25</v>
          </cell>
        </row>
        <row r="646">
          <cell r="G646">
            <v>30</v>
          </cell>
        </row>
        <row r="647">
          <cell r="G647">
            <v>40</v>
          </cell>
        </row>
        <row r="648">
          <cell r="G648">
            <v>19</v>
          </cell>
        </row>
        <row r="649">
          <cell r="G649">
            <v>10</v>
          </cell>
        </row>
        <row r="650">
          <cell r="G650">
            <v>20</v>
          </cell>
        </row>
        <row r="651">
          <cell r="G651">
            <v>0</v>
          </cell>
        </row>
        <row r="652">
          <cell r="G652">
            <v>20</v>
          </cell>
        </row>
        <row r="653">
          <cell r="G653">
            <v>50</v>
          </cell>
        </row>
        <row r="654">
          <cell r="G654">
            <v>10</v>
          </cell>
        </row>
        <row r="655">
          <cell r="G655">
            <v>40</v>
          </cell>
        </row>
        <row r="656">
          <cell r="G656">
            <v>0</v>
          </cell>
        </row>
        <row r="657">
          <cell r="G657">
            <v>20</v>
          </cell>
        </row>
        <row r="658">
          <cell r="G658">
            <v>25</v>
          </cell>
        </row>
        <row r="659">
          <cell r="G659">
            <v>30</v>
          </cell>
        </row>
        <row r="660">
          <cell r="G660">
            <v>0</v>
          </cell>
        </row>
        <row r="661">
          <cell r="G661">
            <v>10</v>
          </cell>
        </row>
        <row r="662">
          <cell r="G662">
            <v>0</v>
          </cell>
        </row>
        <row r="663">
          <cell r="G663">
            <v>18</v>
          </cell>
        </row>
        <row r="664">
          <cell r="G664">
            <v>4</v>
          </cell>
        </row>
        <row r="665">
          <cell r="G665">
            <v>15</v>
          </cell>
        </row>
        <row r="666">
          <cell r="G666">
            <v>20</v>
          </cell>
        </row>
        <row r="667">
          <cell r="G667">
            <v>0</v>
          </cell>
        </row>
        <row r="668">
          <cell r="G668">
            <v>50</v>
          </cell>
        </row>
        <row r="669">
          <cell r="G669">
            <v>0</v>
          </cell>
        </row>
        <row r="670">
          <cell r="G670">
            <v>500</v>
          </cell>
        </row>
        <row r="671">
          <cell r="G671">
            <v>125</v>
          </cell>
        </row>
        <row r="672">
          <cell r="G672">
            <v>30</v>
          </cell>
        </row>
        <row r="673">
          <cell r="G673">
            <v>0</v>
          </cell>
        </row>
        <row r="674">
          <cell r="G674">
            <v>10</v>
          </cell>
        </row>
        <row r="675">
          <cell r="G675">
            <v>10</v>
          </cell>
        </row>
        <row r="676">
          <cell r="G676">
            <v>0</v>
          </cell>
        </row>
        <row r="677">
          <cell r="G677">
            <v>3</v>
          </cell>
        </row>
        <row r="678">
          <cell r="G678">
            <v>3</v>
          </cell>
        </row>
        <row r="679">
          <cell r="G679">
            <v>5</v>
          </cell>
        </row>
        <row r="680">
          <cell r="G680">
            <v>20</v>
          </cell>
        </row>
        <row r="681">
          <cell r="G681">
            <v>20</v>
          </cell>
        </row>
        <row r="682">
          <cell r="G682">
            <v>175</v>
          </cell>
        </row>
        <row r="683">
          <cell r="G683">
            <v>20</v>
          </cell>
        </row>
        <row r="684">
          <cell r="G684">
            <v>30</v>
          </cell>
        </row>
        <row r="685">
          <cell r="G685">
            <v>70</v>
          </cell>
        </row>
        <row r="686">
          <cell r="G686">
            <v>0</v>
          </cell>
        </row>
        <row r="687">
          <cell r="G687">
            <v>30</v>
          </cell>
        </row>
        <row r="688">
          <cell r="G688">
            <v>5</v>
          </cell>
        </row>
        <row r="689">
          <cell r="G689">
            <v>0</v>
          </cell>
        </row>
        <row r="690">
          <cell r="G690">
            <v>6</v>
          </cell>
        </row>
        <row r="691">
          <cell r="G691">
            <v>150</v>
          </cell>
        </row>
        <row r="692">
          <cell r="G692">
            <v>0</v>
          </cell>
        </row>
        <row r="693">
          <cell r="G693">
            <v>50</v>
          </cell>
        </row>
        <row r="694">
          <cell r="G694">
            <v>4</v>
          </cell>
        </row>
        <row r="695">
          <cell r="G695">
            <v>100</v>
          </cell>
        </row>
        <row r="696">
          <cell r="G696">
            <v>9</v>
          </cell>
        </row>
        <row r="697">
          <cell r="G697">
            <v>100</v>
          </cell>
        </row>
        <row r="698">
          <cell r="G698">
            <v>0</v>
          </cell>
        </row>
        <row r="699">
          <cell r="G699">
            <v>70</v>
          </cell>
        </row>
        <row r="700">
          <cell r="G700">
            <v>0</v>
          </cell>
        </row>
        <row r="701">
          <cell r="G701">
            <v>50</v>
          </cell>
        </row>
        <row r="702">
          <cell r="G702">
            <v>23</v>
          </cell>
        </row>
        <row r="703">
          <cell r="G703">
            <v>0</v>
          </cell>
        </row>
        <row r="704">
          <cell r="G704">
            <v>30</v>
          </cell>
        </row>
        <row r="705">
          <cell r="G705">
            <v>0</v>
          </cell>
        </row>
        <row r="706">
          <cell r="G706">
            <v>15</v>
          </cell>
        </row>
        <row r="707">
          <cell r="G707">
            <v>10</v>
          </cell>
        </row>
        <row r="708">
          <cell r="G708">
            <v>175</v>
          </cell>
        </row>
        <row r="709">
          <cell r="G709">
            <v>50</v>
          </cell>
        </row>
        <row r="710">
          <cell r="G710">
            <v>60</v>
          </cell>
        </row>
        <row r="711">
          <cell r="G711">
            <v>25</v>
          </cell>
        </row>
        <row r="712">
          <cell r="G712">
            <v>0</v>
          </cell>
        </row>
        <row r="713">
          <cell r="G713">
            <v>20</v>
          </cell>
        </row>
        <row r="714">
          <cell r="G714">
            <v>0</v>
          </cell>
        </row>
        <row r="715">
          <cell r="G715">
            <v>10</v>
          </cell>
        </row>
        <row r="716">
          <cell r="G716">
            <v>20</v>
          </cell>
        </row>
        <row r="717">
          <cell r="G717">
            <v>0</v>
          </cell>
        </row>
        <row r="718">
          <cell r="G718">
            <v>25</v>
          </cell>
        </row>
        <row r="719">
          <cell r="G719">
            <v>30</v>
          </cell>
        </row>
        <row r="720">
          <cell r="G720">
            <v>25</v>
          </cell>
        </row>
        <row r="721">
          <cell r="G721">
            <v>0</v>
          </cell>
        </row>
        <row r="722">
          <cell r="G722">
            <v>150</v>
          </cell>
        </row>
        <row r="723">
          <cell r="G723">
            <v>20</v>
          </cell>
        </row>
        <row r="724">
          <cell r="G724">
            <v>30</v>
          </cell>
        </row>
        <row r="725">
          <cell r="G725">
            <v>0</v>
          </cell>
        </row>
        <row r="726">
          <cell r="G726">
            <v>54</v>
          </cell>
        </row>
        <row r="727">
          <cell r="G727">
            <v>0</v>
          </cell>
        </row>
        <row r="728">
          <cell r="G728">
            <v>30</v>
          </cell>
        </row>
        <row r="729">
          <cell r="G729">
            <v>0</v>
          </cell>
        </row>
        <row r="730">
          <cell r="G730">
            <v>5</v>
          </cell>
        </row>
        <row r="731">
          <cell r="G731">
            <v>20</v>
          </cell>
        </row>
        <row r="732">
          <cell r="G732">
            <v>175</v>
          </cell>
        </row>
        <row r="733">
          <cell r="G733">
            <v>70</v>
          </cell>
        </row>
        <row r="734">
          <cell r="G734">
            <v>20</v>
          </cell>
        </row>
        <row r="735">
          <cell r="G735">
            <v>0</v>
          </cell>
        </row>
        <row r="736">
          <cell r="G736">
            <v>8</v>
          </cell>
        </row>
        <row r="737">
          <cell r="G737">
            <v>0</v>
          </cell>
        </row>
        <row r="738">
          <cell r="G738">
            <v>30</v>
          </cell>
        </row>
        <row r="739">
          <cell r="G739">
            <v>0</v>
          </cell>
        </row>
        <row r="740">
          <cell r="G740">
            <v>2</v>
          </cell>
        </row>
        <row r="741">
          <cell r="G741">
            <v>0</v>
          </cell>
        </row>
        <row r="742">
          <cell r="G742">
            <v>175</v>
          </cell>
        </row>
        <row r="743">
          <cell r="G743">
            <v>0</v>
          </cell>
        </row>
        <row r="744">
          <cell r="G744">
            <v>50</v>
          </cell>
        </row>
        <row r="745">
          <cell r="G745">
            <v>100</v>
          </cell>
        </row>
        <row r="746">
          <cell r="G746">
            <v>0</v>
          </cell>
        </row>
        <row r="747">
          <cell r="G747">
            <v>40</v>
          </cell>
        </row>
        <row r="748">
          <cell r="G748">
            <v>0</v>
          </cell>
        </row>
        <row r="749">
          <cell r="G749">
            <v>4</v>
          </cell>
        </row>
        <row r="750">
          <cell r="G750">
            <v>50</v>
          </cell>
        </row>
        <row r="751">
          <cell r="G751">
            <v>9</v>
          </cell>
        </row>
        <row r="752">
          <cell r="G752">
            <v>0</v>
          </cell>
        </row>
        <row r="753">
          <cell r="G753">
            <v>10</v>
          </cell>
        </row>
        <row r="754">
          <cell r="G754">
            <v>30</v>
          </cell>
        </row>
        <row r="755">
          <cell r="G755">
            <v>0</v>
          </cell>
        </row>
        <row r="756">
          <cell r="G756">
            <v>20</v>
          </cell>
        </row>
        <row r="757">
          <cell r="G757">
            <v>0</v>
          </cell>
        </row>
        <row r="758">
          <cell r="G758">
            <v>25</v>
          </cell>
        </row>
        <row r="759">
          <cell r="G759">
            <v>15</v>
          </cell>
        </row>
        <row r="760">
          <cell r="G760">
            <v>50</v>
          </cell>
        </row>
        <row r="761">
          <cell r="G761">
            <v>60</v>
          </cell>
        </row>
        <row r="762">
          <cell r="G762">
            <v>0</v>
          </cell>
        </row>
        <row r="763">
          <cell r="G763">
            <v>175</v>
          </cell>
        </row>
        <row r="764">
          <cell r="G764">
            <v>10</v>
          </cell>
        </row>
        <row r="765">
          <cell r="G765">
            <v>20</v>
          </cell>
        </row>
        <row r="766">
          <cell r="G766">
            <v>30</v>
          </cell>
        </row>
        <row r="767">
          <cell r="G767">
            <v>25</v>
          </cell>
        </row>
        <row r="768">
          <cell r="G768">
            <v>0</v>
          </cell>
        </row>
        <row r="769">
          <cell r="G769">
            <v>50</v>
          </cell>
        </row>
        <row r="770">
          <cell r="G770">
            <v>0</v>
          </cell>
        </row>
        <row r="771">
          <cell r="G771">
            <v>10</v>
          </cell>
        </row>
        <row r="772">
          <cell r="G772">
            <v>10</v>
          </cell>
        </row>
        <row r="773">
          <cell r="G773">
            <v>10</v>
          </cell>
        </row>
        <row r="774">
          <cell r="G774">
            <v>0</v>
          </cell>
        </row>
        <row r="775">
          <cell r="G775">
            <v>25</v>
          </cell>
        </row>
        <row r="776">
          <cell r="G776">
            <v>0</v>
          </cell>
        </row>
        <row r="777">
          <cell r="G777">
            <v>50</v>
          </cell>
        </row>
        <row r="778">
          <cell r="G778">
            <v>175</v>
          </cell>
        </row>
        <row r="779">
          <cell r="G779">
            <v>50</v>
          </cell>
        </row>
        <row r="780">
          <cell r="G780">
            <v>0</v>
          </cell>
        </row>
        <row r="781">
          <cell r="G781">
            <v>20</v>
          </cell>
        </row>
        <row r="782">
          <cell r="G782">
            <v>20</v>
          </cell>
        </row>
        <row r="783">
          <cell r="G783">
            <v>20</v>
          </cell>
        </row>
        <row r="784">
          <cell r="G784">
            <v>0</v>
          </cell>
        </row>
        <row r="785">
          <cell r="G785">
            <v>20</v>
          </cell>
        </row>
        <row r="786">
          <cell r="G786">
            <v>30</v>
          </cell>
        </row>
        <row r="787">
          <cell r="G787">
            <v>0</v>
          </cell>
        </row>
        <row r="788">
          <cell r="G788">
            <v>4</v>
          </cell>
        </row>
        <row r="789">
          <cell r="G789">
            <v>9</v>
          </cell>
        </row>
        <row r="790">
          <cell r="G790">
            <v>0</v>
          </cell>
        </row>
        <row r="791">
          <cell r="G791">
            <v>15</v>
          </cell>
        </row>
        <row r="792">
          <cell r="G792">
            <v>100</v>
          </cell>
        </row>
        <row r="793">
          <cell r="G793">
            <v>60</v>
          </cell>
        </row>
        <row r="794">
          <cell r="G794">
            <v>10</v>
          </cell>
        </row>
        <row r="795">
          <cell r="G795">
            <v>0</v>
          </cell>
        </row>
        <row r="796">
          <cell r="G796">
            <v>100</v>
          </cell>
        </row>
        <row r="797">
          <cell r="G797">
            <v>0</v>
          </cell>
        </row>
        <row r="798">
          <cell r="G798">
            <v>25</v>
          </cell>
        </row>
        <row r="799">
          <cell r="G799">
            <v>0</v>
          </cell>
        </row>
        <row r="800">
          <cell r="G800">
            <v>20</v>
          </cell>
        </row>
        <row r="801">
          <cell r="G801">
            <v>10</v>
          </cell>
        </row>
        <row r="802">
          <cell r="G802">
            <v>0</v>
          </cell>
        </row>
        <row r="803">
          <cell r="G803">
            <v>25</v>
          </cell>
        </row>
        <row r="804">
          <cell r="G804">
            <v>5</v>
          </cell>
        </row>
        <row r="805">
          <cell r="G805">
            <v>0</v>
          </cell>
        </row>
        <row r="806">
          <cell r="G806">
            <v>6</v>
          </cell>
        </row>
        <row r="807">
          <cell r="G807">
            <v>10</v>
          </cell>
        </row>
        <row r="808">
          <cell r="G808">
            <v>0</v>
          </cell>
        </row>
        <row r="809">
          <cell r="G809">
            <v>4</v>
          </cell>
        </row>
        <row r="810">
          <cell r="G810">
            <v>9</v>
          </cell>
        </row>
        <row r="811">
          <cell r="G811">
            <v>0</v>
          </cell>
        </row>
        <row r="812">
          <cell r="G812">
            <v>15</v>
          </cell>
        </row>
        <row r="813">
          <cell r="G813">
            <v>60</v>
          </cell>
        </row>
        <row r="814">
          <cell r="G814">
            <v>0</v>
          </cell>
        </row>
        <row r="815">
          <cell r="G815">
            <v>20</v>
          </cell>
        </row>
        <row r="816">
          <cell r="G816">
            <v>0</v>
          </cell>
        </row>
        <row r="817">
          <cell r="G817">
            <v>20</v>
          </cell>
        </row>
        <row r="818">
          <cell r="G818">
            <v>20</v>
          </cell>
        </row>
        <row r="819">
          <cell r="G819">
            <v>0</v>
          </cell>
        </row>
        <row r="820">
          <cell r="G820">
            <v>10</v>
          </cell>
        </row>
        <row r="821">
          <cell r="G821">
            <v>10</v>
          </cell>
        </row>
        <row r="822">
          <cell r="G822">
            <v>20</v>
          </cell>
        </row>
        <row r="823">
          <cell r="G823">
            <v>0</v>
          </cell>
        </row>
        <row r="824">
          <cell r="G824">
            <v>3</v>
          </cell>
        </row>
        <row r="825">
          <cell r="G825">
            <v>0</v>
          </cell>
        </row>
        <row r="826">
          <cell r="G826">
            <v>20</v>
          </cell>
        </row>
        <row r="827">
          <cell r="G827">
            <v>0</v>
          </cell>
        </row>
        <row r="828">
          <cell r="G828">
            <v>4</v>
          </cell>
        </row>
        <row r="829">
          <cell r="G829">
            <v>9</v>
          </cell>
        </row>
        <row r="830">
          <cell r="G830">
            <v>0</v>
          </cell>
        </row>
        <row r="831">
          <cell r="G831">
            <v>20</v>
          </cell>
        </row>
        <row r="832">
          <cell r="G832">
            <v>15</v>
          </cell>
        </row>
        <row r="833">
          <cell r="G833">
            <v>20</v>
          </cell>
        </row>
        <row r="834">
          <cell r="G834">
            <v>0</v>
          </cell>
        </row>
        <row r="835">
          <cell r="G835">
            <v>100</v>
          </cell>
        </row>
        <row r="836">
          <cell r="G836">
            <v>30</v>
          </cell>
        </row>
        <row r="837">
          <cell r="G837">
            <v>80</v>
          </cell>
        </row>
        <row r="838">
          <cell r="G838">
            <v>0</v>
          </cell>
        </row>
        <row r="839">
          <cell r="G839">
            <v>25</v>
          </cell>
        </row>
        <row r="840">
          <cell r="G840">
            <v>0</v>
          </cell>
        </row>
        <row r="841">
          <cell r="G841">
            <v>10</v>
          </cell>
        </row>
        <row r="842">
          <cell r="G842">
            <v>0</v>
          </cell>
        </row>
        <row r="843">
          <cell r="G843">
            <v>20</v>
          </cell>
        </row>
        <row r="844">
          <cell r="G844">
            <v>0</v>
          </cell>
        </row>
        <row r="845">
          <cell r="G845">
            <v>20</v>
          </cell>
        </row>
        <row r="846">
          <cell r="G846">
            <v>0</v>
          </cell>
        </row>
        <row r="847">
          <cell r="G847">
            <v>20</v>
          </cell>
        </row>
        <row r="848">
          <cell r="G848">
            <v>20</v>
          </cell>
        </row>
        <row r="849">
          <cell r="G849">
            <v>20</v>
          </cell>
        </row>
        <row r="850">
          <cell r="G850">
            <v>0</v>
          </cell>
        </row>
        <row r="851">
          <cell r="G851">
            <v>4</v>
          </cell>
        </row>
        <row r="852">
          <cell r="G852">
            <v>9</v>
          </cell>
        </row>
        <row r="853">
          <cell r="G853">
            <v>0</v>
          </cell>
        </row>
        <row r="854">
          <cell r="G854">
            <v>20</v>
          </cell>
        </row>
        <row r="855">
          <cell r="G855">
            <v>0</v>
          </cell>
        </row>
        <row r="856">
          <cell r="G856">
            <v>20</v>
          </cell>
        </row>
        <row r="857">
          <cell r="G857">
            <v>0</v>
          </cell>
        </row>
        <row r="858">
          <cell r="G858">
            <v>10</v>
          </cell>
        </row>
        <row r="859">
          <cell r="G859">
            <v>10</v>
          </cell>
        </row>
        <row r="860">
          <cell r="G860">
            <v>0</v>
          </cell>
        </row>
        <row r="861">
          <cell r="G861">
            <v>20</v>
          </cell>
        </row>
        <row r="862">
          <cell r="G862">
            <v>0</v>
          </cell>
        </row>
        <row r="863">
          <cell r="G863">
            <v>5</v>
          </cell>
        </row>
        <row r="864">
          <cell r="G864">
            <v>0</v>
          </cell>
        </row>
        <row r="865">
          <cell r="G865">
            <v>4</v>
          </cell>
        </row>
        <row r="866">
          <cell r="G866">
            <v>9</v>
          </cell>
        </row>
        <row r="867">
          <cell r="G867">
            <v>0</v>
          </cell>
        </row>
        <row r="868">
          <cell r="G868">
            <v>25</v>
          </cell>
        </row>
        <row r="869">
          <cell r="G869">
            <v>0</v>
          </cell>
        </row>
        <row r="870">
          <cell r="G870">
            <v>25</v>
          </cell>
        </row>
        <row r="871">
          <cell r="G871">
            <v>0</v>
          </cell>
        </row>
        <row r="872">
          <cell r="G872">
            <v>100</v>
          </cell>
        </row>
        <row r="873">
          <cell r="G873">
            <v>0</v>
          </cell>
        </row>
        <row r="874">
          <cell r="G874">
            <v>10</v>
          </cell>
        </row>
        <row r="875">
          <cell r="G875">
            <v>0</v>
          </cell>
        </row>
        <row r="876">
          <cell r="G876">
            <v>4</v>
          </cell>
        </row>
        <row r="877">
          <cell r="G877">
            <v>9</v>
          </cell>
        </row>
        <row r="878">
          <cell r="G878">
            <v>0</v>
          </cell>
        </row>
        <row r="879">
          <cell r="G879">
            <v>20</v>
          </cell>
        </row>
        <row r="880">
          <cell r="G880">
            <v>0</v>
          </cell>
        </row>
        <row r="881">
          <cell r="G881">
            <v>10</v>
          </cell>
        </row>
        <row r="882">
          <cell r="G882">
            <v>10</v>
          </cell>
        </row>
        <row r="883">
          <cell r="G883">
            <v>0</v>
          </cell>
        </row>
        <row r="884">
          <cell r="G884">
            <v>20</v>
          </cell>
        </row>
        <row r="885">
          <cell r="G885">
            <v>20</v>
          </cell>
        </row>
        <row r="886">
          <cell r="G886">
            <v>20</v>
          </cell>
        </row>
        <row r="887">
          <cell r="G887">
            <v>0</v>
          </cell>
        </row>
        <row r="888">
          <cell r="G888">
            <v>4</v>
          </cell>
        </row>
        <row r="889">
          <cell r="G889">
            <v>9</v>
          </cell>
        </row>
        <row r="890">
          <cell r="G890">
            <v>0</v>
          </cell>
        </row>
        <row r="891">
          <cell r="G891">
            <v>10</v>
          </cell>
        </row>
        <row r="892">
          <cell r="G892">
            <v>20</v>
          </cell>
        </row>
        <row r="893">
          <cell r="G893">
            <v>0</v>
          </cell>
        </row>
        <row r="894">
          <cell r="G894">
            <v>20</v>
          </cell>
        </row>
        <row r="895">
          <cell r="G895">
            <v>0</v>
          </cell>
        </row>
        <row r="896">
          <cell r="G896">
            <v>10</v>
          </cell>
        </row>
        <row r="897">
          <cell r="G897">
            <v>10</v>
          </cell>
        </row>
        <row r="898">
          <cell r="G898">
            <v>0</v>
          </cell>
        </row>
        <row r="899">
          <cell r="G899">
            <v>20</v>
          </cell>
        </row>
        <row r="900">
          <cell r="G900">
            <v>0</v>
          </cell>
        </row>
        <row r="901">
          <cell r="G901">
            <v>5</v>
          </cell>
        </row>
        <row r="902">
          <cell r="G902">
            <v>0</v>
          </cell>
        </row>
        <row r="903">
          <cell r="G903">
            <v>4</v>
          </cell>
        </row>
        <row r="904">
          <cell r="G904">
            <v>15</v>
          </cell>
        </row>
        <row r="905">
          <cell r="G905">
            <v>9</v>
          </cell>
        </row>
        <row r="906">
          <cell r="G906">
            <v>0</v>
          </cell>
        </row>
        <row r="907">
          <cell r="G907">
            <v>25</v>
          </cell>
        </row>
        <row r="908">
          <cell r="G908">
            <v>0</v>
          </cell>
        </row>
        <row r="909">
          <cell r="G909">
            <v>25</v>
          </cell>
        </row>
        <row r="910">
          <cell r="G910">
            <v>0</v>
          </cell>
        </row>
        <row r="911">
          <cell r="G911">
            <v>100</v>
          </cell>
        </row>
        <row r="912">
          <cell r="G912">
            <v>0</v>
          </cell>
        </row>
        <row r="913">
          <cell r="G913">
            <v>10</v>
          </cell>
        </row>
        <row r="914">
          <cell r="G914">
            <v>0</v>
          </cell>
        </row>
        <row r="915">
          <cell r="G915">
            <v>4</v>
          </cell>
        </row>
        <row r="916">
          <cell r="G916">
            <v>15</v>
          </cell>
        </row>
        <row r="917">
          <cell r="G917">
            <v>9</v>
          </cell>
        </row>
        <row r="918">
          <cell r="G918">
            <v>0</v>
          </cell>
        </row>
        <row r="919">
          <cell r="G919">
            <v>20</v>
          </cell>
        </row>
        <row r="920">
          <cell r="G920">
            <v>0</v>
          </cell>
        </row>
        <row r="921">
          <cell r="G921">
            <v>10</v>
          </cell>
        </row>
        <row r="922">
          <cell r="G922">
            <v>10</v>
          </cell>
        </row>
        <row r="923">
          <cell r="G923">
            <v>0</v>
          </cell>
        </row>
        <row r="924">
          <cell r="G924">
            <v>10</v>
          </cell>
        </row>
        <row r="925">
          <cell r="G925">
            <v>0</v>
          </cell>
        </row>
        <row r="926">
          <cell r="G926">
            <v>20</v>
          </cell>
        </row>
      </sheetData>
      <sheetData sheetId="1"/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_from_SqlServer_1" connectionId="1" xr16:uid="{A8EE091D-DF6B-467F-8FD3-E8FCB05F1CB2}" autoFormatId="16" applyNumberFormats="0" applyBorderFormats="0" applyFontFormats="0" applyPatternFormats="0" applyAlignmentFormats="0" applyWidthHeightFormats="0">
  <queryTableRefresh nextId="6">
    <queryTableFields count="4">
      <queryTableField id="2" name="boule_id" tableColumnId="2"/>
      <queryTableField id="3" name="tier_id" tableColumnId="3"/>
      <queryTableField id="4" name="tier_length_mm" tableColumnId="4"/>
      <queryTableField id="5" name="tier_start_m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qlServer" connectionId="2" xr16:uid="{FF4D0C84-1767-40E1-8E10-2E824BF8882F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item_id" tableColumnId="1"/>
      <queryTableField id="2" name="param_no" tableColumnId="2"/>
      <queryTableField id="3" name="meas_date" tableColumnId="3"/>
      <queryTableField id="4" name="meas_value" tableColumnId="4"/>
      <queryTableField id="6" name="param_desc" tableColumnId="6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05EE52-40B5-49A5-9481-569456E3C557}" name="Table_Query_from_SqlServer_112" displayName="Table_Query_from_SqlServer_112" ref="Y40:AB83" tableType="queryTable" totalsRowShown="0">
  <autoFilter ref="Y40:AB83" xr:uid="{CAD43FF3-C85E-47CA-862D-53A08EB9DEDA}"/>
  <tableColumns count="4">
    <tableColumn id="2" xr3:uid="{FC2BA0EA-4D74-457D-ABC6-7B0C68F0622C}" uniqueName="2" name="boule_id" queryTableFieldId="2"/>
    <tableColumn id="3" xr3:uid="{8DDFFF80-F05A-4CBB-A438-6746A4FF7508}" uniqueName="3" name="tier_id" queryTableFieldId="3"/>
    <tableColumn id="4" xr3:uid="{C4FB7CED-D4D5-4934-80FE-0E0ED9E9AAD2}" uniqueName="4" name="tier_length_mm" queryTableFieldId="4"/>
    <tableColumn id="5" xr3:uid="{00073150-05F8-4356-9ECA-02CD0C72A04E}" uniqueName="5" name="tier_start_mm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3B4E91-18CA-4A09-BD1E-3FA23EA57034}" name="Table_Query_from_SqlServer11" displayName="Table_Query_from_SqlServer11" ref="A1:F865" tableType="queryTable" totalsRowShown="0">
  <autoFilter ref="A1:F865" xr:uid="{3850662F-5F74-4A5E-B93E-E5B74F56A3DF}"/>
  <tableColumns count="6">
    <tableColumn id="1" xr3:uid="{3E4CD98C-1BCF-47C5-A673-265CB878FE34}" uniqueName="1" name="item_id" queryTableFieldId="1"/>
    <tableColumn id="2" xr3:uid="{0D772436-6FFB-4DB2-9A71-36CEA18D7637}" uniqueName="2" name="param_no" queryTableFieldId="2"/>
    <tableColumn id="3" xr3:uid="{E87F1B81-CA6B-4479-9A0B-A7DC2E9DF164}" uniqueName="3" name="meas_date" queryTableFieldId="3" dataDxfId="5"/>
    <tableColumn id="4" xr3:uid="{6B11F5EC-A4E7-4F11-94EA-496C08B498D4}" uniqueName="4" name="meas_value" queryTableFieldId="4"/>
    <tableColumn id="6" xr3:uid="{342AEE2E-AF60-4D43-A3D1-57D2F3D1F013}" uniqueName="6" name="param_desc" queryTableFieldId="6"/>
    <tableColumn id="5" xr3:uid="{C5125F5A-D85D-4666-A06B-D72F828C82BA}" uniqueName="5" name="boule" queryTableFieldId="5" dataDxfId="6">
      <calculatedColumnFormula>RIGHT(Table_Query_from_SqlServer11[[#This Row],[item_id]],7)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F4B3E-3CA0-4618-A777-3FA353B2ADD4}">
  <sheetPr codeName="Sheet14"/>
  <dimension ref="A1:AE143"/>
  <sheetViews>
    <sheetView topLeftCell="A4" workbookViewId="0">
      <selection activeCell="E28" sqref="E28"/>
    </sheetView>
  </sheetViews>
  <sheetFormatPr defaultRowHeight="15" x14ac:dyDescent="0.25"/>
  <cols>
    <col min="1" max="1" width="10" bestFit="1" customWidth="1"/>
    <col min="2" max="2" width="22.7109375" bestFit="1" customWidth="1"/>
    <col min="3" max="3" width="15.7109375" bestFit="1" customWidth="1"/>
    <col min="4" max="4" width="13.85546875" bestFit="1" customWidth="1"/>
    <col min="5" max="5" width="45.140625" bestFit="1" customWidth="1"/>
    <col min="6" max="6" width="8.42578125" bestFit="1" customWidth="1"/>
    <col min="10" max="10" width="13.5703125" bestFit="1" customWidth="1"/>
    <col min="11" max="11" width="13.85546875" bestFit="1" customWidth="1"/>
    <col min="13" max="13" width="22.7109375" bestFit="1" customWidth="1"/>
    <col min="14" max="14" width="18" bestFit="1" customWidth="1"/>
    <col min="15" max="15" width="16" bestFit="1" customWidth="1"/>
    <col min="17" max="17" width="15.85546875" bestFit="1" customWidth="1"/>
    <col min="22" max="22" width="14.7109375" bestFit="1" customWidth="1"/>
    <col min="25" max="25" width="11" bestFit="1" customWidth="1"/>
    <col min="26" max="26" width="9" bestFit="1" customWidth="1"/>
    <col min="27" max="27" width="17.42578125" bestFit="1" customWidth="1"/>
    <col min="28" max="29" width="15.85546875" bestFit="1" customWidth="1"/>
  </cols>
  <sheetData>
    <row r="1" spans="1:31" x14ac:dyDescent="0.25">
      <c r="Y1" t="s">
        <v>308</v>
      </c>
      <c r="Z1" t="s">
        <v>309</v>
      </c>
      <c r="AA1" t="s">
        <v>310</v>
      </c>
      <c r="AB1" t="s">
        <v>311</v>
      </c>
      <c r="AE1" s="1"/>
    </row>
    <row r="2" spans="1:31" x14ac:dyDescent="0.25">
      <c r="AE2" s="1"/>
    </row>
    <row r="3" spans="1:31" x14ac:dyDescent="0.25">
      <c r="AE3" s="1"/>
    </row>
    <row r="4" spans="1:31" x14ac:dyDescent="0.25">
      <c r="AE4" s="1"/>
    </row>
    <row r="5" spans="1:31" x14ac:dyDescent="0.25">
      <c r="B5" s="8" t="s">
        <v>22</v>
      </c>
      <c r="C5" s="9">
        <v>0.02</v>
      </c>
      <c r="AE5" s="1"/>
    </row>
    <row r="6" spans="1:31" x14ac:dyDescent="0.25">
      <c r="B6" s="4" t="s">
        <v>24</v>
      </c>
      <c r="C6" s="9">
        <v>9.8400000000000001E-2</v>
      </c>
      <c r="G6" s="38" t="s">
        <v>4</v>
      </c>
      <c r="H6" s="38"/>
      <c r="I6" s="38"/>
      <c r="J6" s="38"/>
      <c r="AE6" s="1"/>
    </row>
    <row r="7" spans="1:31" x14ac:dyDescent="0.25">
      <c r="B7" s="8" t="s">
        <v>27</v>
      </c>
      <c r="C7" s="9">
        <v>0.02</v>
      </c>
      <c r="F7" s="3">
        <f>IFERROR(A9,"")</f>
        <v>0.86</v>
      </c>
      <c r="G7" s="3">
        <f>A10</f>
        <v>0.87</v>
      </c>
      <c r="H7" s="3">
        <f>A11</f>
        <v>0.88</v>
      </c>
      <c r="I7" s="3">
        <f>A12</f>
        <v>0.89</v>
      </c>
      <c r="J7" s="3">
        <f>A13</f>
        <v>0.9</v>
      </c>
      <c r="K7" s="3" t="str">
        <f>IF(ISBLANK(A14),"",A14)</f>
        <v/>
      </c>
      <c r="AE7" s="1"/>
    </row>
    <row r="8" spans="1:31" x14ac:dyDescent="0.25">
      <c r="A8" s="2" t="s">
        <v>9</v>
      </c>
      <c r="B8" s="2" t="s">
        <v>10</v>
      </c>
      <c r="E8" s="4" t="s">
        <v>11</v>
      </c>
      <c r="F8" s="4">
        <f>B9</f>
        <v>6.5501548756432298E-2</v>
      </c>
      <c r="G8" s="4">
        <f>B10</f>
        <v>6.0480747381381449E-2</v>
      </c>
      <c r="H8" s="4">
        <f>B11</f>
        <v>5.5517327849831412E-2</v>
      </c>
      <c r="I8" s="4">
        <f>B12</f>
        <v>5.0609993355087243E-2</v>
      </c>
      <c r="J8" s="5">
        <f>B13</f>
        <v>4.5757490560675143E-2</v>
      </c>
      <c r="K8" s="3" t="str">
        <f t="shared" ref="K8" si="0">IF(ISBLANK(A15),"",A15)</f>
        <v/>
      </c>
      <c r="L8" s="4"/>
      <c r="M8" s="4"/>
      <c r="Q8" s="6"/>
      <c r="R8" s="6"/>
      <c r="S8" s="6"/>
      <c r="T8" s="6"/>
      <c r="U8" s="6"/>
      <c r="AE8" s="1"/>
    </row>
    <row r="9" spans="1:31" x14ac:dyDescent="0.25">
      <c r="A9">
        <f>A10-0.01</f>
        <v>0.86</v>
      </c>
      <c r="B9" s="7">
        <f>LOG10(1/A9)</f>
        <v>6.5501548756432298E-2</v>
      </c>
      <c r="E9" s="36">
        <f>(C6-C5)*2.54</f>
        <v>0.19913600000000001</v>
      </c>
      <c r="F9">
        <f>IFERROR(2.303*(F$8/$E9),"")</f>
        <v>0.75752283256700725</v>
      </c>
      <c r="G9">
        <f t="shared" ref="G9:J24" si="1">IFERROR(2.303*(G$8/$E9),"")</f>
        <v>0.69945746233388972</v>
      </c>
      <c r="H9">
        <f t="shared" si="1"/>
        <v>0.6420557108617313</v>
      </c>
      <c r="I9">
        <f t="shared" si="1"/>
        <v>0.58530258063216056</v>
      </c>
      <c r="J9">
        <f t="shared" si="1"/>
        <v>0.52918357685820161</v>
      </c>
      <c r="K9" s="3" t="str">
        <f>IF(ISBLANK(K8),"",K8)</f>
        <v/>
      </c>
      <c r="M9" s="4"/>
      <c r="N9" s="3"/>
      <c r="Q9" s="3"/>
      <c r="R9" s="3"/>
      <c r="S9" s="3"/>
      <c r="AE9" s="1"/>
    </row>
    <row r="10" spans="1:31" x14ac:dyDescent="0.25">
      <c r="A10">
        <f>A11-0.01</f>
        <v>0.87</v>
      </c>
      <c r="B10" s="7">
        <f>LOG10(1/A10)</f>
        <v>6.0480747381381449E-2</v>
      </c>
      <c r="E10" s="36">
        <f>IFERROR(IF(E9+0.01 &lt;=( $C$6+$C$7)*2.54,E9+0.01,""),"")</f>
        <v>0.20913600000000002</v>
      </c>
      <c r="F10">
        <f t="shared" ref="F10:J29" si="2">IFERROR(2.303*(F$8/$E10),"")</f>
        <v>0.72130129095929707</v>
      </c>
      <c r="G10">
        <f t="shared" si="1"/>
        <v>0.66601236142663844</v>
      </c>
      <c r="H10">
        <f t="shared" si="1"/>
        <v>0.61135531920932662</v>
      </c>
      <c r="I10">
        <f t="shared" si="1"/>
        <v>0.55731588390695963</v>
      </c>
      <c r="J10">
        <f t="shared" si="1"/>
        <v>0.50388025381204027</v>
      </c>
      <c r="K10" s="3" t="str">
        <f t="shared" ref="K10:K29" si="3">IF(ISBLANK(K9),"",K9)</f>
        <v/>
      </c>
      <c r="Q10" s="3"/>
      <c r="R10" s="3"/>
      <c r="S10" s="3"/>
      <c r="AE10" s="1"/>
    </row>
    <row r="11" spans="1:31" x14ac:dyDescent="0.25">
      <c r="A11">
        <v>0.88</v>
      </c>
      <c r="B11" s="7">
        <f>LOG10(1/A11)</f>
        <v>5.5517327849831412E-2</v>
      </c>
      <c r="E11" s="36">
        <f t="shared" ref="E11:E29" si="4">IFERROR(IF(E10+0.01 &lt;=( $C$6+$C$7)*2.54,E10+0.01,""),"")</f>
        <v>0.21913600000000003</v>
      </c>
      <c r="F11">
        <f t="shared" si="2"/>
        <v>0.68838559974656632</v>
      </c>
      <c r="G11">
        <f t="shared" si="1"/>
        <v>0.63561971204786738</v>
      </c>
      <c r="H11">
        <f t="shared" si="1"/>
        <v>0.58345687626935649</v>
      </c>
      <c r="I11">
        <f t="shared" si="1"/>
        <v>0.53188346367902084</v>
      </c>
      <c r="J11">
        <f t="shared" si="1"/>
        <v>0.48088630239319347</v>
      </c>
      <c r="K11" s="3" t="str">
        <f t="shared" si="3"/>
        <v/>
      </c>
      <c r="AE11" s="1"/>
    </row>
    <row r="12" spans="1:31" x14ac:dyDescent="0.25">
      <c r="A12">
        <f>A11+0.01</f>
        <v>0.89</v>
      </c>
      <c r="B12" s="7">
        <f>LOG10(1/A12)</f>
        <v>5.0609993355087243E-2</v>
      </c>
      <c r="E12" s="36">
        <f t="shared" si="4"/>
        <v>0.22913600000000003</v>
      </c>
      <c r="F12">
        <f t="shared" si="2"/>
        <v>0.65834293513923414</v>
      </c>
      <c r="G12">
        <f t="shared" si="1"/>
        <v>0.60787986706288599</v>
      </c>
      <c r="H12">
        <f t="shared" si="1"/>
        <v>0.55799353239194938</v>
      </c>
      <c r="I12">
        <f t="shared" si="1"/>
        <v>0.50867089718231051</v>
      </c>
      <c r="J12">
        <f t="shared" si="1"/>
        <v>0.45989936440033363</v>
      </c>
      <c r="K12" s="3" t="str">
        <f t="shared" si="3"/>
        <v/>
      </c>
      <c r="AE12" s="1"/>
    </row>
    <row r="13" spans="1:31" x14ac:dyDescent="0.25">
      <c r="A13">
        <f>A12+0.01</f>
        <v>0.9</v>
      </c>
      <c r="B13" s="7">
        <f>LOG10(1/A13)</f>
        <v>4.5757490560675143E-2</v>
      </c>
      <c r="E13" s="36">
        <f t="shared" si="4"/>
        <v>0.23913600000000004</v>
      </c>
      <c r="F13">
        <f t="shared" si="2"/>
        <v>0.63081287127853425</v>
      </c>
      <c r="G13">
        <f t="shared" si="1"/>
        <v>0.58246002784742335</v>
      </c>
      <c r="H13">
        <f t="shared" si="1"/>
        <v>0.53465980044059325</v>
      </c>
      <c r="I13">
        <f t="shared" si="1"/>
        <v>0.48739970015709005</v>
      </c>
      <c r="J13">
        <f t="shared" si="1"/>
        <v>0.44066765673606162</v>
      </c>
      <c r="K13" s="3" t="str">
        <f t="shared" si="3"/>
        <v/>
      </c>
      <c r="Q13" s="7"/>
      <c r="AE13" s="1"/>
    </row>
    <row r="14" spans="1:31" x14ac:dyDescent="0.25">
      <c r="E14" s="37">
        <f t="shared" si="4"/>
        <v>0.24913600000000005</v>
      </c>
      <c r="F14">
        <f t="shared" si="2"/>
        <v>0.60549285043535883</v>
      </c>
      <c r="G14">
        <f t="shared" si="1"/>
        <v>0.55908082821961269</v>
      </c>
      <c r="H14">
        <f t="shared" si="1"/>
        <v>0.5131992407286049</v>
      </c>
      <c r="I14">
        <f t="shared" si="1"/>
        <v>0.46783610034987272</v>
      </c>
      <c r="J14">
        <f t="shared" si="1"/>
        <v>0.4229798213073776</v>
      </c>
      <c r="K14" s="3" t="str">
        <f t="shared" si="3"/>
        <v/>
      </c>
      <c r="Q14" s="7"/>
      <c r="AE14" s="1"/>
    </row>
    <row r="15" spans="1:31" x14ac:dyDescent="0.25">
      <c r="E15" s="36">
        <f t="shared" si="4"/>
        <v>0.25913600000000003</v>
      </c>
      <c r="F15">
        <f t="shared" si="2"/>
        <v>0.58212701741966988</v>
      </c>
      <c r="G15">
        <f t="shared" si="1"/>
        <v>0.53750602471027364</v>
      </c>
      <c r="H15">
        <f t="shared" si="1"/>
        <v>0.49339499736880144</v>
      </c>
      <c r="I15">
        <f t="shared" si="1"/>
        <v>0.44978241038206151</v>
      </c>
      <c r="J15">
        <f t="shared" si="1"/>
        <v>0.40665712506650881</v>
      </c>
      <c r="K15" s="3" t="str">
        <f t="shared" si="3"/>
        <v/>
      </c>
      <c r="Q15" s="7"/>
      <c r="AE15" s="1"/>
    </row>
    <row r="16" spans="1:31" x14ac:dyDescent="0.25">
      <c r="E16" s="36">
        <f t="shared" si="4"/>
        <v>0.26913600000000004</v>
      </c>
      <c r="F16">
        <f t="shared" si="2"/>
        <v>0.56049754319772738</v>
      </c>
      <c r="G16">
        <f t="shared" si="1"/>
        <v>0.51753448523914103</v>
      </c>
      <c r="H16">
        <f t="shared" si="1"/>
        <v>0.47506244440788936</v>
      </c>
      <c r="I16">
        <f t="shared" si="1"/>
        <v>0.43307032391343375</v>
      </c>
      <c r="J16">
        <f t="shared" si="1"/>
        <v>0.39154739894044216</v>
      </c>
      <c r="K16" s="3" t="str">
        <f t="shared" si="3"/>
        <v/>
      </c>
      <c r="AE16" s="1"/>
    </row>
    <row r="17" spans="1:31" x14ac:dyDescent="0.25">
      <c r="E17" s="36">
        <f t="shared" si="4"/>
        <v>0.27913600000000005</v>
      </c>
      <c r="F17">
        <f t="shared" si="2"/>
        <v>0.54041781348899298</v>
      </c>
      <c r="G17">
        <f t="shared" si="1"/>
        <v>0.49899389981701198</v>
      </c>
      <c r="H17">
        <f t="shared" si="1"/>
        <v>0.45804341266680654</v>
      </c>
      <c r="I17">
        <f t="shared" si="1"/>
        <v>0.41755565278848267</v>
      </c>
      <c r="J17">
        <f t="shared" si="1"/>
        <v>0.37752027958140416</v>
      </c>
      <c r="K17" s="3" t="str">
        <f t="shared" si="3"/>
        <v/>
      </c>
      <c r="AE17" s="1"/>
    </row>
    <row r="18" spans="1:31" x14ac:dyDescent="0.25">
      <c r="E18" s="36">
        <f t="shared" si="4"/>
        <v>0.28913600000000006</v>
      </c>
      <c r="F18">
        <f t="shared" si="2"/>
        <v>0.52172703083000227</v>
      </c>
      <c r="G18">
        <f t="shared" si="1"/>
        <v>0.48173579637029446</v>
      </c>
      <c r="H18">
        <f t="shared" si="1"/>
        <v>0.44220161459715052</v>
      </c>
      <c r="I18">
        <f t="shared" si="1"/>
        <v>0.40311415630279834</v>
      </c>
      <c r="J18">
        <f t="shared" si="1"/>
        <v>0.36446343852455187</v>
      </c>
      <c r="K18" s="3" t="str">
        <f t="shared" si="3"/>
        <v/>
      </c>
      <c r="AE18" s="1"/>
    </row>
    <row r="19" spans="1:31" ht="15.75" thickBot="1" x14ac:dyDescent="0.3">
      <c r="E19" s="36">
        <f t="shared" si="4"/>
        <v>0.29913600000000007</v>
      </c>
      <c r="F19">
        <f t="shared" si="2"/>
        <v>0.50428589934365486</v>
      </c>
      <c r="G19">
        <f t="shared" si="1"/>
        <v>0.46563155627982405</v>
      </c>
      <c r="H19">
        <f t="shared" si="1"/>
        <v>0.42741898680921619</v>
      </c>
      <c r="I19">
        <f t="shared" si="1"/>
        <v>0.38963820702545293</v>
      </c>
      <c r="J19">
        <f t="shared" si="1"/>
        <v>0.35227956769240359</v>
      </c>
      <c r="K19" s="3" t="str">
        <f t="shared" si="3"/>
        <v/>
      </c>
      <c r="AE19" s="1"/>
    </row>
    <row r="20" spans="1:31" x14ac:dyDescent="0.25">
      <c r="A20" s="10" t="s">
        <v>32</v>
      </c>
      <c r="B20" s="11">
        <v>5.67</v>
      </c>
      <c r="E20" s="36" t="str">
        <f t="shared" si="4"/>
        <v/>
      </c>
      <c r="F20" t="str">
        <f t="shared" si="2"/>
        <v/>
      </c>
      <c r="G20" t="str">
        <f t="shared" si="1"/>
        <v/>
      </c>
      <c r="H20" t="str">
        <f t="shared" si="1"/>
        <v/>
      </c>
      <c r="I20" t="str">
        <f t="shared" si="1"/>
        <v/>
      </c>
      <c r="J20" t="str">
        <f t="shared" si="1"/>
        <v/>
      </c>
      <c r="K20" s="3" t="str">
        <f t="shared" si="3"/>
        <v/>
      </c>
      <c r="AE20" s="1"/>
    </row>
    <row r="21" spans="1:31" ht="15.75" thickBot="1" x14ac:dyDescent="0.3">
      <c r="A21" s="12" t="s">
        <v>34</v>
      </c>
      <c r="B21" s="13">
        <v>6.08</v>
      </c>
      <c r="E21" s="36" t="str">
        <f t="shared" si="4"/>
        <v/>
      </c>
      <c r="F21" t="str">
        <f t="shared" si="2"/>
        <v/>
      </c>
      <c r="G21" t="str">
        <f t="shared" si="1"/>
        <v/>
      </c>
      <c r="H21" t="str">
        <f t="shared" si="1"/>
        <v/>
      </c>
      <c r="I21" t="str">
        <f t="shared" si="1"/>
        <v/>
      </c>
      <c r="J21" t="str">
        <f t="shared" si="1"/>
        <v/>
      </c>
      <c r="K21" s="3" t="str">
        <f t="shared" si="3"/>
        <v/>
      </c>
      <c r="O21" s="3"/>
    </row>
    <row r="22" spans="1:31" x14ac:dyDescent="0.25">
      <c r="A22" s="14"/>
      <c r="B22" s="15" t="s">
        <v>36</v>
      </c>
      <c r="C22" s="15" t="s">
        <v>37</v>
      </c>
      <c r="D22" s="16" t="s">
        <v>38</v>
      </c>
      <c r="E22" s="36" t="str">
        <f t="shared" si="4"/>
        <v/>
      </c>
      <c r="F22" t="str">
        <f t="shared" si="2"/>
        <v/>
      </c>
      <c r="G22" t="str">
        <f t="shared" si="1"/>
        <v/>
      </c>
      <c r="H22" t="str">
        <f t="shared" si="1"/>
        <v/>
      </c>
      <c r="I22" t="str">
        <f t="shared" si="1"/>
        <v/>
      </c>
      <c r="J22" t="str">
        <f t="shared" si="1"/>
        <v/>
      </c>
      <c r="K22" s="3" t="str">
        <f t="shared" si="3"/>
        <v/>
      </c>
    </row>
    <row r="23" spans="1:31" x14ac:dyDescent="0.25">
      <c r="A23" s="17" t="s">
        <v>41</v>
      </c>
      <c r="B23" s="18">
        <f>C6-C5</f>
        <v>7.8399999999999997E-2</v>
      </c>
      <c r="C23" s="18">
        <f>C6</f>
        <v>9.8400000000000001E-2</v>
      </c>
      <c r="D23" s="19">
        <f>C6+C7</f>
        <v>0.11840000000000001</v>
      </c>
      <c r="E23" s="36" t="str">
        <f t="shared" si="4"/>
        <v/>
      </c>
      <c r="F23" t="str">
        <f t="shared" si="2"/>
        <v/>
      </c>
      <c r="G23" t="str">
        <f t="shared" si="1"/>
        <v/>
      </c>
      <c r="H23" t="str">
        <f t="shared" si="1"/>
        <v/>
      </c>
      <c r="I23" t="str">
        <f t="shared" si="1"/>
        <v/>
      </c>
      <c r="J23" t="str">
        <f t="shared" si="1"/>
        <v/>
      </c>
      <c r="K23" s="3" t="str">
        <f t="shared" si="3"/>
        <v/>
      </c>
    </row>
    <row r="24" spans="1:31" x14ac:dyDescent="0.25">
      <c r="A24" s="17" t="s">
        <v>44</v>
      </c>
      <c r="B24" s="18">
        <f>B23*25.4</f>
        <v>1.9913599999999998</v>
      </c>
      <c r="C24" s="18">
        <f>C23*25.4</f>
        <v>2.4993599999999998</v>
      </c>
      <c r="D24" s="19">
        <f>D23*25.4</f>
        <v>3.0073599999999998</v>
      </c>
      <c r="E24" s="36" t="str">
        <f t="shared" si="4"/>
        <v/>
      </c>
      <c r="F24" t="str">
        <f t="shared" si="2"/>
        <v/>
      </c>
      <c r="G24" t="str">
        <f t="shared" si="1"/>
        <v/>
      </c>
      <c r="H24" t="str">
        <f t="shared" si="1"/>
        <v/>
      </c>
      <c r="I24" t="str">
        <f t="shared" si="1"/>
        <v/>
      </c>
      <c r="J24" t="str">
        <f t="shared" si="1"/>
        <v/>
      </c>
      <c r="K24" s="3" t="str">
        <f t="shared" si="3"/>
        <v/>
      </c>
    </row>
    <row r="25" spans="1:31" ht="15.75" thickBot="1" x14ac:dyDescent="0.3">
      <c r="A25" s="20" t="s">
        <v>46</v>
      </c>
      <c r="B25" s="21">
        <f>B24/10</f>
        <v>0.19913599999999998</v>
      </c>
      <c r="C25" s="21">
        <f>C24/10</f>
        <v>0.24993599999999999</v>
      </c>
      <c r="D25" s="22">
        <f>D24/10</f>
        <v>0.300736</v>
      </c>
      <c r="E25" s="36" t="str">
        <f t="shared" si="4"/>
        <v/>
      </c>
      <c r="F25" t="str">
        <f t="shared" si="2"/>
        <v/>
      </c>
      <c r="G25" t="str">
        <f t="shared" si="2"/>
        <v/>
      </c>
      <c r="H25" t="str">
        <f t="shared" si="2"/>
        <v/>
      </c>
      <c r="I25" t="str">
        <f t="shared" si="2"/>
        <v/>
      </c>
      <c r="J25" t="str">
        <f t="shared" si="2"/>
        <v/>
      </c>
      <c r="K25" s="3" t="str">
        <f t="shared" si="3"/>
        <v/>
      </c>
    </row>
    <row r="26" spans="1:31" x14ac:dyDescent="0.25">
      <c r="E26" s="36" t="str">
        <f t="shared" si="4"/>
        <v/>
      </c>
      <c r="F26" t="str">
        <f t="shared" si="2"/>
        <v/>
      </c>
      <c r="G26" t="str">
        <f t="shared" si="2"/>
        <v/>
      </c>
      <c r="H26" t="str">
        <f t="shared" si="2"/>
        <v/>
      </c>
      <c r="I26" t="str">
        <f t="shared" si="2"/>
        <v/>
      </c>
      <c r="J26" t="str">
        <f t="shared" si="2"/>
        <v/>
      </c>
      <c r="K26" s="3" t="str">
        <f t="shared" si="3"/>
        <v/>
      </c>
    </row>
    <row r="27" spans="1:31" x14ac:dyDescent="0.25">
      <c r="E27" s="36" t="str">
        <f t="shared" si="4"/>
        <v/>
      </c>
      <c r="F27" t="str">
        <f t="shared" si="2"/>
        <v/>
      </c>
      <c r="G27" t="str">
        <f t="shared" si="2"/>
        <v/>
      </c>
      <c r="H27" t="str">
        <f t="shared" si="2"/>
        <v/>
      </c>
      <c r="I27" t="str">
        <f t="shared" si="2"/>
        <v/>
      </c>
      <c r="J27" t="str">
        <f t="shared" si="2"/>
        <v/>
      </c>
      <c r="K27" s="3" t="str">
        <f t="shared" si="3"/>
        <v/>
      </c>
    </row>
    <row r="28" spans="1:31" x14ac:dyDescent="0.25">
      <c r="E28" s="36" t="str">
        <f t="shared" si="4"/>
        <v/>
      </c>
      <c r="F28" t="str">
        <f t="shared" si="2"/>
        <v/>
      </c>
      <c r="G28" t="str">
        <f t="shared" si="2"/>
        <v/>
      </c>
      <c r="H28" t="str">
        <f t="shared" si="2"/>
        <v/>
      </c>
      <c r="I28" t="str">
        <f t="shared" si="2"/>
        <v/>
      </c>
      <c r="J28" t="str">
        <f t="shared" si="2"/>
        <v/>
      </c>
      <c r="K28" s="3" t="str">
        <f t="shared" si="3"/>
        <v/>
      </c>
    </row>
    <row r="29" spans="1:31" x14ac:dyDescent="0.25">
      <c r="E29" s="36" t="str">
        <f t="shared" si="4"/>
        <v/>
      </c>
      <c r="F29" t="str">
        <f t="shared" si="2"/>
        <v/>
      </c>
      <c r="G29" t="str">
        <f t="shared" si="2"/>
        <v/>
      </c>
      <c r="H29" t="str">
        <f t="shared" si="2"/>
        <v/>
      </c>
      <c r="I29" t="str">
        <f t="shared" si="2"/>
        <v/>
      </c>
      <c r="K29" s="3" t="str">
        <f t="shared" si="3"/>
        <v/>
      </c>
    </row>
    <row r="30" spans="1:31" x14ac:dyDescent="0.25">
      <c r="D30" s="4"/>
      <c r="E30" s="4"/>
    </row>
    <row r="31" spans="1:31" x14ac:dyDescent="0.25">
      <c r="D31" s="4"/>
      <c r="E31" s="4"/>
    </row>
    <row r="32" spans="1:31" x14ac:dyDescent="0.25">
      <c r="D32" s="4"/>
      <c r="E32" s="4"/>
    </row>
    <row r="33" spans="4:28" x14ac:dyDescent="0.25">
      <c r="D33" s="4"/>
      <c r="E33" s="4"/>
    </row>
    <row r="40" spans="4:28" x14ac:dyDescent="0.25">
      <c r="Y40" t="s">
        <v>0</v>
      </c>
      <c r="Z40" t="s">
        <v>1</v>
      </c>
      <c r="AA40" t="s">
        <v>2</v>
      </c>
      <c r="AB40" t="s">
        <v>3</v>
      </c>
    </row>
    <row r="41" spans="4:28" x14ac:dyDescent="0.25">
      <c r="Y41" t="s">
        <v>5</v>
      </c>
      <c r="Z41" t="s">
        <v>6</v>
      </c>
      <c r="AA41">
        <v>4</v>
      </c>
      <c r="AB41">
        <v>103</v>
      </c>
    </row>
    <row r="42" spans="4:28" x14ac:dyDescent="0.25">
      <c r="Y42" t="s">
        <v>7</v>
      </c>
      <c r="Z42" t="s">
        <v>8</v>
      </c>
      <c r="AA42">
        <v>120</v>
      </c>
      <c r="AB42">
        <v>0</v>
      </c>
    </row>
    <row r="43" spans="4:28" x14ac:dyDescent="0.25">
      <c r="Y43" t="s">
        <v>12</v>
      </c>
      <c r="Z43" t="s">
        <v>13</v>
      </c>
      <c r="AA43">
        <v>17</v>
      </c>
      <c r="AB43">
        <v>103</v>
      </c>
    </row>
    <row r="44" spans="4:28" x14ac:dyDescent="0.25">
      <c r="Y44" t="s">
        <v>14</v>
      </c>
      <c r="Z44" t="s">
        <v>8</v>
      </c>
      <c r="AA44">
        <v>116</v>
      </c>
      <c r="AB44">
        <v>0</v>
      </c>
    </row>
    <row r="45" spans="4:28" x14ac:dyDescent="0.25">
      <c r="Y45" t="s">
        <v>15</v>
      </c>
      <c r="Z45" t="s">
        <v>13</v>
      </c>
      <c r="AA45">
        <v>42</v>
      </c>
      <c r="AB45">
        <v>23</v>
      </c>
    </row>
    <row r="46" spans="4:28" x14ac:dyDescent="0.25">
      <c r="Y46" t="s">
        <v>16</v>
      </c>
      <c r="Z46" t="s">
        <v>8</v>
      </c>
      <c r="AA46">
        <v>100</v>
      </c>
      <c r="AB46">
        <v>0</v>
      </c>
    </row>
    <row r="47" spans="4:28" x14ac:dyDescent="0.25">
      <c r="Y47" t="s">
        <v>17</v>
      </c>
      <c r="Z47" t="s">
        <v>8</v>
      </c>
      <c r="AA47">
        <v>99</v>
      </c>
      <c r="AB47">
        <v>0</v>
      </c>
    </row>
    <row r="48" spans="4:28" x14ac:dyDescent="0.25">
      <c r="Y48" t="s">
        <v>18</v>
      </c>
      <c r="Z48" t="s">
        <v>8</v>
      </c>
      <c r="AA48">
        <v>98</v>
      </c>
      <c r="AB48">
        <v>0</v>
      </c>
    </row>
    <row r="49" spans="25:28" x14ac:dyDescent="0.25">
      <c r="Y49" t="s">
        <v>19</v>
      </c>
      <c r="Z49" t="s">
        <v>8</v>
      </c>
      <c r="AA49">
        <v>93</v>
      </c>
      <c r="AB49">
        <v>0</v>
      </c>
    </row>
    <row r="50" spans="25:28" x14ac:dyDescent="0.25">
      <c r="Y50" t="s">
        <v>20</v>
      </c>
      <c r="Z50" t="s">
        <v>21</v>
      </c>
      <c r="AA50">
        <v>28</v>
      </c>
      <c r="AB50">
        <v>77</v>
      </c>
    </row>
    <row r="51" spans="25:28" x14ac:dyDescent="0.25">
      <c r="Y51" t="s">
        <v>23</v>
      </c>
      <c r="Z51" t="s">
        <v>8</v>
      </c>
      <c r="AA51">
        <v>105</v>
      </c>
      <c r="AB51">
        <v>0</v>
      </c>
    </row>
    <row r="52" spans="25:28" x14ac:dyDescent="0.25">
      <c r="Y52" t="s">
        <v>25</v>
      </c>
      <c r="Z52" t="s">
        <v>26</v>
      </c>
      <c r="AA52">
        <v>30</v>
      </c>
      <c r="AB52">
        <v>0</v>
      </c>
    </row>
    <row r="53" spans="25:28" x14ac:dyDescent="0.25">
      <c r="Y53" t="s">
        <v>28</v>
      </c>
      <c r="Z53" t="s">
        <v>29</v>
      </c>
      <c r="AA53">
        <v>15</v>
      </c>
      <c r="AB53">
        <v>0</v>
      </c>
    </row>
    <row r="54" spans="25:28" x14ac:dyDescent="0.25">
      <c r="Y54" t="s">
        <v>30</v>
      </c>
      <c r="Z54" t="s">
        <v>31</v>
      </c>
      <c r="AA54">
        <v>5</v>
      </c>
      <c r="AB54">
        <v>45</v>
      </c>
    </row>
    <row r="55" spans="25:28" x14ac:dyDescent="0.25">
      <c r="Y55" t="s">
        <v>33</v>
      </c>
      <c r="Z55" t="s">
        <v>8</v>
      </c>
      <c r="AA55">
        <v>116</v>
      </c>
      <c r="AB55">
        <v>0</v>
      </c>
    </row>
    <row r="56" spans="25:28" x14ac:dyDescent="0.25">
      <c r="Y56" t="s">
        <v>35</v>
      </c>
      <c r="Z56" t="s">
        <v>8</v>
      </c>
      <c r="AA56">
        <v>113</v>
      </c>
      <c r="AB56">
        <v>0</v>
      </c>
    </row>
    <row r="57" spans="25:28" x14ac:dyDescent="0.25">
      <c r="Y57" t="s">
        <v>39</v>
      </c>
      <c r="Z57" t="s">
        <v>40</v>
      </c>
      <c r="AA57">
        <v>61</v>
      </c>
      <c r="AB57">
        <v>0</v>
      </c>
    </row>
    <row r="58" spans="25:28" x14ac:dyDescent="0.25">
      <c r="Y58" t="s">
        <v>42</v>
      </c>
      <c r="Z58" t="s">
        <v>43</v>
      </c>
      <c r="AA58">
        <v>52</v>
      </c>
      <c r="AB58">
        <v>12</v>
      </c>
    </row>
    <row r="59" spans="25:28" x14ac:dyDescent="0.25">
      <c r="Y59" t="s">
        <v>45</v>
      </c>
      <c r="Z59" t="s">
        <v>8</v>
      </c>
      <c r="AA59">
        <v>114</v>
      </c>
      <c r="AB59">
        <v>0</v>
      </c>
    </row>
    <row r="60" spans="25:28" x14ac:dyDescent="0.25">
      <c r="Y60" t="s">
        <v>47</v>
      </c>
      <c r="Z60" t="s">
        <v>26</v>
      </c>
      <c r="AA60">
        <v>88</v>
      </c>
      <c r="AB60">
        <v>0</v>
      </c>
    </row>
    <row r="61" spans="25:28" x14ac:dyDescent="0.25">
      <c r="Y61" t="s">
        <v>48</v>
      </c>
      <c r="Z61" t="s">
        <v>43</v>
      </c>
      <c r="AA61">
        <v>92</v>
      </c>
      <c r="AB61">
        <v>10</v>
      </c>
    </row>
    <row r="62" spans="25:28" x14ac:dyDescent="0.25">
      <c r="Y62" t="s">
        <v>49</v>
      </c>
      <c r="Z62" t="s">
        <v>26</v>
      </c>
      <c r="AA62">
        <v>91</v>
      </c>
      <c r="AB62">
        <v>0</v>
      </c>
    </row>
    <row r="63" spans="25:28" x14ac:dyDescent="0.25">
      <c r="Y63" t="s">
        <v>50</v>
      </c>
      <c r="Z63" t="s">
        <v>26</v>
      </c>
      <c r="AA63">
        <v>77</v>
      </c>
      <c r="AB63">
        <v>0</v>
      </c>
    </row>
    <row r="64" spans="25:28" x14ac:dyDescent="0.25">
      <c r="Y64" t="s">
        <v>51</v>
      </c>
      <c r="Z64" t="s">
        <v>26</v>
      </c>
      <c r="AA64">
        <v>56</v>
      </c>
      <c r="AB64">
        <v>0</v>
      </c>
    </row>
    <row r="65" spans="25:28" x14ac:dyDescent="0.25">
      <c r="Y65" t="s">
        <v>52</v>
      </c>
      <c r="Z65" t="s">
        <v>8</v>
      </c>
      <c r="AA65">
        <v>111</v>
      </c>
      <c r="AB65">
        <v>0</v>
      </c>
    </row>
    <row r="66" spans="25:28" x14ac:dyDescent="0.25">
      <c r="Y66" t="s">
        <v>55</v>
      </c>
      <c r="Z66" t="s">
        <v>8</v>
      </c>
      <c r="AA66">
        <v>113</v>
      </c>
      <c r="AB66">
        <v>0</v>
      </c>
    </row>
    <row r="67" spans="25:28" x14ac:dyDescent="0.25">
      <c r="Y67" t="s">
        <v>56</v>
      </c>
      <c r="Z67" t="s">
        <v>29</v>
      </c>
      <c r="AA67">
        <v>72</v>
      </c>
      <c r="AB67">
        <v>0</v>
      </c>
    </row>
    <row r="68" spans="25:28" x14ac:dyDescent="0.25">
      <c r="Y68" t="s">
        <v>57</v>
      </c>
      <c r="Z68" t="s">
        <v>8</v>
      </c>
      <c r="AA68">
        <v>105</v>
      </c>
      <c r="AB68">
        <v>0</v>
      </c>
    </row>
    <row r="69" spans="25:28" x14ac:dyDescent="0.25">
      <c r="Y69" t="s">
        <v>76</v>
      </c>
      <c r="Z69" t="s">
        <v>8</v>
      </c>
      <c r="AA69">
        <v>114</v>
      </c>
      <c r="AB69">
        <v>0</v>
      </c>
    </row>
    <row r="70" spans="25:28" x14ac:dyDescent="0.25">
      <c r="Y70" t="s">
        <v>79</v>
      </c>
      <c r="Z70" t="s">
        <v>8</v>
      </c>
      <c r="AA70">
        <v>75</v>
      </c>
      <c r="AB70">
        <v>0</v>
      </c>
    </row>
    <row r="71" spans="25:28" x14ac:dyDescent="0.25">
      <c r="Y71" t="s">
        <v>81</v>
      </c>
      <c r="Z71" t="s">
        <v>8</v>
      </c>
      <c r="AA71">
        <v>115</v>
      </c>
      <c r="AB71">
        <v>0</v>
      </c>
    </row>
    <row r="72" spans="25:28" x14ac:dyDescent="0.25">
      <c r="Y72" t="s">
        <v>83</v>
      </c>
      <c r="Z72" t="s">
        <v>8</v>
      </c>
      <c r="AA72">
        <v>46</v>
      </c>
      <c r="AB72">
        <v>0</v>
      </c>
    </row>
    <row r="73" spans="25:28" x14ac:dyDescent="0.25">
      <c r="Y73" t="s">
        <v>85</v>
      </c>
      <c r="Z73" t="s">
        <v>8</v>
      </c>
      <c r="AA73">
        <v>113</v>
      </c>
      <c r="AB73">
        <v>0</v>
      </c>
    </row>
    <row r="74" spans="25:28" x14ac:dyDescent="0.25">
      <c r="Y74" t="s">
        <v>87</v>
      </c>
      <c r="Z74" t="s">
        <v>26</v>
      </c>
      <c r="AA74">
        <v>62</v>
      </c>
      <c r="AB74">
        <v>0</v>
      </c>
    </row>
    <row r="75" spans="25:28" x14ac:dyDescent="0.25">
      <c r="Y75" t="s">
        <v>88</v>
      </c>
      <c r="Z75" t="s">
        <v>8</v>
      </c>
      <c r="AA75">
        <v>113</v>
      </c>
      <c r="AB75">
        <v>0</v>
      </c>
    </row>
    <row r="76" spans="25:28" x14ac:dyDescent="0.25">
      <c r="Y76" t="s">
        <v>90</v>
      </c>
      <c r="Z76" t="s">
        <v>26</v>
      </c>
      <c r="AA76">
        <v>31</v>
      </c>
      <c r="AB76">
        <v>0</v>
      </c>
    </row>
    <row r="77" spans="25:28" x14ac:dyDescent="0.25">
      <c r="Y77" t="s">
        <v>91</v>
      </c>
      <c r="Z77" t="s">
        <v>26</v>
      </c>
      <c r="AA77">
        <v>18</v>
      </c>
      <c r="AB77">
        <v>0</v>
      </c>
    </row>
    <row r="78" spans="25:28" x14ac:dyDescent="0.25">
      <c r="Y78" t="s">
        <v>92</v>
      </c>
      <c r="Z78" t="s">
        <v>8</v>
      </c>
      <c r="AA78">
        <v>114</v>
      </c>
      <c r="AB78">
        <v>0</v>
      </c>
    </row>
    <row r="79" spans="25:28" x14ac:dyDescent="0.25">
      <c r="Y79" t="s">
        <v>93</v>
      </c>
      <c r="Z79" t="s">
        <v>8</v>
      </c>
      <c r="AA79">
        <v>112</v>
      </c>
      <c r="AB79">
        <v>0</v>
      </c>
    </row>
    <row r="80" spans="25:28" x14ac:dyDescent="0.25">
      <c r="Y80" t="s">
        <v>95</v>
      </c>
      <c r="Z80" t="s">
        <v>26</v>
      </c>
      <c r="AA80">
        <v>84</v>
      </c>
      <c r="AB80">
        <v>0</v>
      </c>
    </row>
    <row r="81" spans="25:28" x14ac:dyDescent="0.25">
      <c r="Y81" t="s">
        <v>312</v>
      </c>
      <c r="Z81" t="s">
        <v>8</v>
      </c>
      <c r="AA81">
        <v>113</v>
      </c>
      <c r="AB81">
        <v>0</v>
      </c>
    </row>
    <row r="82" spans="25:28" x14ac:dyDescent="0.25">
      <c r="Y82" t="s">
        <v>96</v>
      </c>
      <c r="Z82" t="s">
        <v>8</v>
      </c>
      <c r="AA82">
        <v>100</v>
      </c>
      <c r="AB82">
        <v>0</v>
      </c>
    </row>
    <row r="83" spans="25:28" x14ac:dyDescent="0.25">
      <c r="Y83" t="s">
        <v>97</v>
      </c>
      <c r="Z83" t="s">
        <v>8</v>
      </c>
      <c r="AA83">
        <v>115</v>
      </c>
      <c r="AB83">
        <v>0</v>
      </c>
    </row>
    <row r="131" spans="10:22" x14ac:dyDescent="0.25">
      <c r="J131" t="e" cm="1">
        <f t="array" ref="J131">INDEX(Data!$D$1:$D$865,MATCH(1,("1+"&amp;$I131=Data!$A$1:$A$865)*(1236=Data!$B$1:$B$865),0))</f>
        <v>#N/A</v>
      </c>
      <c r="K131" t="e" cm="1">
        <f t="array" ref="K131">INDEX(Data!$D$1:$D$865,MATCH(1,("1+"&amp;$I131=Data!$A$1:$A$865)*(1237=Data!$B$1:$B$865),0))</f>
        <v>#N/A</v>
      </c>
      <c r="L131" t="e" cm="1">
        <f t="array" ref="L131">INDEX(Data!$D$1:$D$865,MATCH(1,("2+"&amp;$I131=Data!$A$1:$A$865)*(1236=Data!$B$1:$B$865),0))</f>
        <v>#N/A</v>
      </c>
      <c r="M131" t="e" cm="1">
        <f t="array" ref="M131">INDEX(Data!$D$1:$D$865,MATCH(1,("2+"&amp;$I131=Data!$A$1:$A$865)*(1237=Data!$B$1:$B$865),0))</f>
        <v>#N/A</v>
      </c>
      <c r="N131" t="e" cm="1">
        <f t="array" ref="N131">INDEX(Data!$D$1:$D$865,MATCH(1,("1+"&amp;$I131=Data!$A$1:$A$865)*(905=Data!$B$1:$B$865),0))</f>
        <v>#N/A</v>
      </c>
      <c r="O131" t="e" cm="1">
        <f t="array" ref="O131">INDEX(Data!$D$1:$D$865,MATCH(1,("1+"&amp;$I131=Data!$A$1:$A$865)*(906=Data!$B$1:$B$865),0))</f>
        <v>#N/A</v>
      </c>
      <c r="P131" t="e" cm="1">
        <f t="array" ref="P131">INDEX(Data!$D$1:$D$865,MATCH(1,("2+"&amp;$I131=Data!$A$1:$A$865)*(905=Data!$B$1:$B$865),0))</f>
        <v>#N/A</v>
      </c>
      <c r="Q131" t="e" cm="1">
        <f t="array" ref="Q131">INDEX(Data!$D$1:$D$865,MATCH(1,("2+"&amp;$I131=Data!$A$1:$A$865)*(906=Data!$B$1:$B$865),0))</f>
        <v>#N/A</v>
      </c>
      <c r="R131" t="e">
        <f t="shared" ref="R131:R143" si="5">AVERAGE(N131:O131)</f>
        <v>#N/A</v>
      </c>
      <c r="S131" t="e">
        <f t="shared" ref="S131:S143" si="6">AVERAGE(P131:Q131)</f>
        <v>#N/A</v>
      </c>
      <c r="T131" s="3" t="str">
        <f>_xlfn.IFNA(VLOOKUP($I131,$Y:$AB,2,FALSE),"Used")</f>
        <v>Used</v>
      </c>
      <c r="U131" s="3" t="str">
        <f>_xlfn.IFNA(VLOOKUP($I131,$Y:$AB,3,FALSE),"Used")</f>
        <v>Used</v>
      </c>
      <c r="V131" s="3" t="str">
        <f>_xlfn.IFNA(VLOOKUP($I131,$Y:$AB,4,FALSE),"Used")</f>
        <v>Used</v>
      </c>
    </row>
    <row r="132" spans="10:22" x14ac:dyDescent="0.25">
      <c r="J132" t="e" cm="1">
        <f t="array" ref="J132">INDEX(Data!$D$1:$D$865,MATCH(1,("1+"&amp;$I132=Data!$A$1:$A$865)*(1236=Data!$B$1:$B$865),0))</f>
        <v>#N/A</v>
      </c>
      <c r="K132" t="e" cm="1">
        <f t="array" ref="K132">INDEX(Data!$D$1:$D$865,MATCH(1,("1+"&amp;$I132=Data!$A$1:$A$865)*(1237=Data!$B$1:$B$865),0))</f>
        <v>#N/A</v>
      </c>
      <c r="L132" t="e" cm="1">
        <f t="array" ref="L132">INDEX(Data!$D$1:$D$865,MATCH(1,("2+"&amp;$I132=Data!$A$1:$A$865)*(1236=Data!$B$1:$B$865),0))</f>
        <v>#N/A</v>
      </c>
      <c r="M132" t="e" cm="1">
        <f t="array" ref="M132">INDEX(Data!$D$1:$D$865,MATCH(1,("2+"&amp;$I132=Data!$A$1:$A$865)*(1237=Data!$B$1:$B$865),0))</f>
        <v>#N/A</v>
      </c>
      <c r="N132" t="e" cm="1">
        <f t="array" ref="N132">INDEX(Data!$D$1:$D$865,MATCH(1,("1+"&amp;$I132=Data!$A$1:$A$865)*(905=Data!$B$1:$B$865),0))</f>
        <v>#N/A</v>
      </c>
      <c r="O132" t="e" cm="1">
        <f t="array" ref="O132">INDEX(Data!$D$1:$D$865,MATCH(1,("1+"&amp;$I132=Data!$A$1:$A$865)*(906=Data!$B$1:$B$865),0))</f>
        <v>#N/A</v>
      </c>
      <c r="P132" t="e" cm="1">
        <f t="array" ref="P132">INDEX(Data!$D$1:$D$865,MATCH(1,("2+"&amp;$I132=Data!$A$1:$A$865)*(905=Data!$B$1:$B$865),0))</f>
        <v>#N/A</v>
      </c>
      <c r="Q132" t="e" cm="1">
        <f t="array" ref="Q132">INDEX(Data!$D$1:$D$865,MATCH(1,("2+"&amp;$I132=Data!$A$1:$A$865)*(906=Data!$B$1:$B$865),0))</f>
        <v>#N/A</v>
      </c>
      <c r="R132" t="e">
        <f t="shared" si="5"/>
        <v>#N/A</v>
      </c>
      <c r="S132" t="e">
        <f t="shared" si="6"/>
        <v>#N/A</v>
      </c>
      <c r="T132" s="3" t="str">
        <f>_xlfn.IFNA(VLOOKUP($I132,$Y:$AB,2,FALSE),"Used")</f>
        <v>Used</v>
      </c>
      <c r="U132" s="3" t="str">
        <f>_xlfn.IFNA(VLOOKUP($I132,$Y:$AB,3,FALSE),"Used")</f>
        <v>Used</v>
      </c>
      <c r="V132" s="3" t="str">
        <f>_xlfn.IFNA(VLOOKUP($I132,$Y:$AB,4,FALSE),"Used")</f>
        <v>Used</v>
      </c>
    </row>
    <row r="133" spans="10:22" x14ac:dyDescent="0.25">
      <c r="J133" t="e" cm="1">
        <f t="array" ref="J133">INDEX(Data!$D$1:$D$865,MATCH(1,("1+"&amp;$I133=Data!$A$1:$A$865)*(1236=Data!$B$1:$B$865),0))</f>
        <v>#N/A</v>
      </c>
      <c r="K133" t="e" cm="1">
        <f t="array" ref="K133">INDEX(Data!$D$1:$D$865,MATCH(1,("1+"&amp;$I133=Data!$A$1:$A$865)*(1237=Data!$B$1:$B$865),0))</f>
        <v>#N/A</v>
      </c>
      <c r="L133" t="e" cm="1">
        <f t="array" ref="L133">INDEX(Data!$D$1:$D$865,MATCH(1,("2+"&amp;$I133=Data!$A$1:$A$865)*(1236=Data!$B$1:$B$865),0))</f>
        <v>#N/A</v>
      </c>
      <c r="M133" t="e" cm="1">
        <f t="array" ref="M133">INDEX(Data!$D$1:$D$865,MATCH(1,("2+"&amp;$I133=Data!$A$1:$A$865)*(1237=Data!$B$1:$B$865),0))</f>
        <v>#N/A</v>
      </c>
      <c r="N133" t="e" cm="1">
        <f t="array" ref="N133">INDEX(Data!$D$1:$D$865,MATCH(1,("1+"&amp;$I133=Data!$A$1:$A$865)*(905=Data!$B$1:$B$865),0))</f>
        <v>#N/A</v>
      </c>
      <c r="O133" t="e" cm="1">
        <f t="array" ref="O133">INDEX(Data!$D$1:$D$865,MATCH(1,("1+"&amp;$I133=Data!$A$1:$A$865)*(906=Data!$B$1:$B$865),0))</f>
        <v>#N/A</v>
      </c>
      <c r="P133" t="e" cm="1">
        <f t="array" ref="P133">INDEX(Data!$D$1:$D$865,MATCH(1,("2+"&amp;$I133=Data!$A$1:$A$865)*(905=Data!$B$1:$B$865),0))</f>
        <v>#N/A</v>
      </c>
      <c r="Q133" t="e" cm="1">
        <f t="array" ref="Q133">INDEX(Data!$D$1:$D$865,MATCH(1,("2+"&amp;$I133=Data!$A$1:$A$865)*(906=Data!$B$1:$B$865),0))</f>
        <v>#N/A</v>
      </c>
      <c r="R133" t="e">
        <f t="shared" si="5"/>
        <v>#N/A</v>
      </c>
      <c r="S133" t="e">
        <f t="shared" si="6"/>
        <v>#N/A</v>
      </c>
      <c r="T133" s="3" t="str">
        <f>_xlfn.IFNA(VLOOKUP($I133,$Y:$AB,2,FALSE),"Used")</f>
        <v>Used</v>
      </c>
      <c r="U133" s="3" t="str">
        <f>_xlfn.IFNA(VLOOKUP($I133,$Y:$AB,3,FALSE),"Used")</f>
        <v>Used</v>
      </c>
      <c r="V133" s="3" t="str">
        <f>_xlfn.IFNA(VLOOKUP($I133,$Y:$AB,4,FALSE),"Used")</f>
        <v>Used</v>
      </c>
    </row>
    <row r="134" spans="10:22" x14ac:dyDescent="0.25">
      <c r="J134" t="e" cm="1">
        <f t="array" ref="J134">INDEX(Data!$D$1:$D$865,MATCH(1,("1+"&amp;$I134=Data!$A$1:$A$865)*(1236=Data!$B$1:$B$865),0))</f>
        <v>#N/A</v>
      </c>
      <c r="K134" t="e" cm="1">
        <f t="array" ref="K134">INDEX(Data!$D$1:$D$865,MATCH(1,("1+"&amp;$I134=Data!$A$1:$A$865)*(1237=Data!$B$1:$B$865),0))</f>
        <v>#N/A</v>
      </c>
      <c r="L134" t="e" cm="1">
        <f t="array" ref="L134">INDEX(Data!$D$1:$D$865,MATCH(1,("2+"&amp;$I134=Data!$A$1:$A$865)*(1236=Data!$B$1:$B$865),0))</f>
        <v>#N/A</v>
      </c>
      <c r="M134" t="e" cm="1">
        <f t="array" ref="M134">INDEX(Data!$D$1:$D$865,MATCH(1,("2+"&amp;$I134=Data!$A$1:$A$865)*(1237=Data!$B$1:$B$865),0))</f>
        <v>#N/A</v>
      </c>
      <c r="N134" t="e" cm="1">
        <f t="array" ref="N134">INDEX(Data!$D$1:$D$865,MATCH(1,("1+"&amp;$I134=Data!$A$1:$A$865)*(905=Data!$B$1:$B$865),0))</f>
        <v>#N/A</v>
      </c>
      <c r="O134" t="e" cm="1">
        <f t="array" ref="O134">INDEX(Data!$D$1:$D$865,MATCH(1,("1+"&amp;$I134=Data!$A$1:$A$865)*(906=Data!$B$1:$B$865),0))</f>
        <v>#N/A</v>
      </c>
      <c r="P134" t="e" cm="1">
        <f t="array" ref="P134">INDEX(Data!$D$1:$D$865,MATCH(1,("2+"&amp;$I134=Data!$A$1:$A$865)*(905=Data!$B$1:$B$865),0))</f>
        <v>#N/A</v>
      </c>
      <c r="Q134" t="e" cm="1">
        <f t="array" ref="Q134">INDEX(Data!$D$1:$D$865,MATCH(1,("2+"&amp;$I134=Data!$A$1:$A$865)*(906=Data!$B$1:$B$865),0))</f>
        <v>#N/A</v>
      </c>
      <c r="R134" t="e">
        <f t="shared" si="5"/>
        <v>#N/A</v>
      </c>
      <c r="S134" t="e">
        <f t="shared" si="6"/>
        <v>#N/A</v>
      </c>
      <c r="T134" s="3" t="str">
        <f>_xlfn.IFNA(VLOOKUP($I134,$Y:$AB,2,FALSE),"Used")</f>
        <v>Used</v>
      </c>
      <c r="U134" s="3" t="str">
        <f>_xlfn.IFNA(VLOOKUP($I134,$Y:$AB,3,FALSE),"Used")</f>
        <v>Used</v>
      </c>
      <c r="V134" s="3" t="str">
        <f>_xlfn.IFNA(VLOOKUP($I134,$Y:$AB,4,FALSE),"Used")</f>
        <v>Used</v>
      </c>
    </row>
    <row r="135" spans="10:22" x14ac:dyDescent="0.25">
      <c r="J135" t="e" cm="1">
        <f t="array" ref="J135">INDEX(Data!$D$1:$D$865,MATCH(1,("1+"&amp;$I135=Data!$A$1:$A$865)*(1236=Data!$B$1:$B$865),0))</f>
        <v>#N/A</v>
      </c>
      <c r="K135" t="e" cm="1">
        <f t="array" ref="K135">INDEX(Data!$D$1:$D$865,MATCH(1,("1+"&amp;$I135=Data!$A$1:$A$865)*(1237=Data!$B$1:$B$865),0))</f>
        <v>#N/A</v>
      </c>
      <c r="L135" t="e" cm="1">
        <f t="array" ref="L135">INDEX(Data!$D$1:$D$865,MATCH(1,("2+"&amp;$I135=Data!$A$1:$A$865)*(1236=Data!$B$1:$B$865),0))</f>
        <v>#N/A</v>
      </c>
      <c r="M135" t="e" cm="1">
        <f t="array" ref="M135">INDEX(Data!$D$1:$D$865,MATCH(1,("2+"&amp;$I135=Data!$A$1:$A$865)*(1237=Data!$B$1:$B$865),0))</f>
        <v>#N/A</v>
      </c>
      <c r="N135" t="e" cm="1">
        <f t="array" ref="N135">INDEX(Data!$D$1:$D$865,MATCH(1,("1+"&amp;$I135=Data!$A$1:$A$865)*(905=Data!$B$1:$B$865),0))</f>
        <v>#N/A</v>
      </c>
      <c r="O135" t="e" cm="1">
        <f t="array" ref="O135">INDEX(Data!$D$1:$D$865,MATCH(1,("1+"&amp;$I135=Data!$A$1:$A$865)*(906=Data!$B$1:$B$865),0))</f>
        <v>#N/A</v>
      </c>
      <c r="P135" t="e" cm="1">
        <f t="array" ref="P135">INDEX(Data!$D$1:$D$865,MATCH(1,("2+"&amp;$I135=Data!$A$1:$A$865)*(905=Data!$B$1:$B$865),0))</f>
        <v>#N/A</v>
      </c>
      <c r="Q135" t="e" cm="1">
        <f t="array" ref="Q135">INDEX(Data!$D$1:$D$865,MATCH(1,("2+"&amp;$I135=Data!$A$1:$A$865)*(906=Data!$B$1:$B$865),0))</f>
        <v>#N/A</v>
      </c>
      <c r="R135" t="e">
        <f t="shared" si="5"/>
        <v>#N/A</v>
      </c>
      <c r="S135" t="e">
        <f t="shared" si="6"/>
        <v>#N/A</v>
      </c>
      <c r="T135" s="3" t="str">
        <f>_xlfn.IFNA(VLOOKUP($I135,$Y:$AB,2,FALSE),"Used")</f>
        <v>Used</v>
      </c>
      <c r="U135" s="3" t="str">
        <f>_xlfn.IFNA(VLOOKUP($I135,$Y:$AB,3,FALSE),"Used")</f>
        <v>Used</v>
      </c>
      <c r="V135" s="3" t="str">
        <f>_xlfn.IFNA(VLOOKUP($I135,$Y:$AB,4,FALSE),"Used")</f>
        <v>Used</v>
      </c>
    </row>
    <row r="136" spans="10:22" x14ac:dyDescent="0.25">
      <c r="J136" t="e" cm="1">
        <f t="array" ref="J136">INDEX(Data!$D$1:$D$865,MATCH(1,("1+"&amp;$I136=Data!$A$1:$A$865)*(1236=Data!$B$1:$B$865),0))</f>
        <v>#N/A</v>
      </c>
      <c r="K136" t="e" cm="1">
        <f t="array" ref="K136">INDEX(Data!$D$1:$D$865,MATCH(1,("1+"&amp;$I136=Data!$A$1:$A$865)*(1237=Data!$B$1:$B$865),0))</f>
        <v>#N/A</v>
      </c>
      <c r="L136" t="e" cm="1">
        <f t="array" ref="L136">INDEX(Data!$D$1:$D$865,MATCH(1,("2+"&amp;$I136=Data!$A$1:$A$865)*(1236=Data!$B$1:$B$865),0))</f>
        <v>#N/A</v>
      </c>
      <c r="M136" t="e" cm="1">
        <f t="array" ref="M136">INDEX(Data!$D$1:$D$865,MATCH(1,("2+"&amp;$I136=Data!$A$1:$A$865)*(1237=Data!$B$1:$B$865),0))</f>
        <v>#N/A</v>
      </c>
      <c r="N136" t="e" cm="1">
        <f t="array" ref="N136">INDEX(Data!$D$1:$D$865,MATCH(1,("1+"&amp;$I136=Data!$A$1:$A$865)*(905=Data!$B$1:$B$865),0))</f>
        <v>#N/A</v>
      </c>
      <c r="O136" t="e" cm="1">
        <f t="array" ref="O136">INDEX(Data!$D$1:$D$865,MATCH(1,("1+"&amp;$I136=Data!$A$1:$A$865)*(906=Data!$B$1:$B$865),0))</f>
        <v>#N/A</v>
      </c>
      <c r="P136" t="e" cm="1">
        <f t="array" ref="P136">INDEX(Data!$D$1:$D$865,MATCH(1,("2+"&amp;$I136=Data!$A$1:$A$865)*(905=Data!$B$1:$B$865),0))</f>
        <v>#N/A</v>
      </c>
      <c r="Q136" t="e" cm="1">
        <f t="array" ref="Q136">INDEX(Data!$D$1:$D$865,MATCH(1,("2+"&amp;$I136=Data!$A$1:$A$865)*(906=Data!$B$1:$B$865),0))</f>
        <v>#N/A</v>
      </c>
      <c r="R136" t="e">
        <f t="shared" si="5"/>
        <v>#N/A</v>
      </c>
      <c r="S136" t="e">
        <f t="shared" si="6"/>
        <v>#N/A</v>
      </c>
      <c r="T136" s="3" t="str">
        <f>_xlfn.IFNA(VLOOKUP($I136,$Y:$AB,2,FALSE),"Used")</f>
        <v>Used</v>
      </c>
      <c r="U136" s="3" t="str">
        <f>_xlfn.IFNA(VLOOKUP($I136,$Y:$AB,3,FALSE),"Used")</f>
        <v>Used</v>
      </c>
      <c r="V136" s="3" t="str">
        <f>_xlfn.IFNA(VLOOKUP($I136,$Y:$AB,4,FALSE),"Used")</f>
        <v>Used</v>
      </c>
    </row>
    <row r="137" spans="10:22" x14ac:dyDescent="0.25">
      <c r="J137" t="e" cm="1">
        <f t="array" ref="J137">INDEX(Data!$D$1:$D$865,MATCH(1,("1+"&amp;$I137=Data!$A$1:$A$865)*(1236=Data!$B$1:$B$865),0))</f>
        <v>#N/A</v>
      </c>
      <c r="K137" t="e" cm="1">
        <f t="array" ref="K137">INDEX(Data!$D$1:$D$865,MATCH(1,("1+"&amp;$I137=Data!$A$1:$A$865)*(1237=Data!$B$1:$B$865),0))</f>
        <v>#N/A</v>
      </c>
      <c r="L137" t="e" cm="1">
        <f t="array" ref="L137">INDEX(Data!$D$1:$D$865,MATCH(1,("2+"&amp;$I137=Data!$A$1:$A$865)*(1236=Data!$B$1:$B$865),0))</f>
        <v>#N/A</v>
      </c>
      <c r="M137" t="e" cm="1">
        <f t="array" ref="M137">INDEX(Data!$D$1:$D$865,MATCH(1,("2+"&amp;$I137=Data!$A$1:$A$865)*(1237=Data!$B$1:$B$865),0))</f>
        <v>#N/A</v>
      </c>
      <c r="N137" t="e" cm="1">
        <f t="array" ref="N137">INDEX(Data!$D$1:$D$865,MATCH(1,("1+"&amp;$I137=Data!$A$1:$A$865)*(905=Data!$B$1:$B$865),0))</f>
        <v>#N/A</v>
      </c>
      <c r="O137" t="e" cm="1">
        <f t="array" ref="O137">INDEX(Data!$D$1:$D$865,MATCH(1,("1+"&amp;$I137=Data!$A$1:$A$865)*(906=Data!$B$1:$B$865),0))</f>
        <v>#N/A</v>
      </c>
      <c r="P137" t="e" cm="1">
        <f t="array" ref="P137">INDEX(Data!$D$1:$D$865,MATCH(1,("2+"&amp;$I137=Data!$A$1:$A$865)*(905=Data!$B$1:$B$865),0))</f>
        <v>#N/A</v>
      </c>
      <c r="Q137" t="e" cm="1">
        <f t="array" ref="Q137">INDEX(Data!$D$1:$D$865,MATCH(1,("2+"&amp;$I137=Data!$A$1:$A$865)*(906=Data!$B$1:$B$865),0))</f>
        <v>#N/A</v>
      </c>
      <c r="R137" t="e">
        <f t="shared" si="5"/>
        <v>#N/A</v>
      </c>
      <c r="S137" t="e">
        <f t="shared" si="6"/>
        <v>#N/A</v>
      </c>
      <c r="T137" s="3" t="str">
        <f>_xlfn.IFNA(VLOOKUP($I137,$Y:$AB,2,FALSE),"Used")</f>
        <v>Used</v>
      </c>
      <c r="U137" s="3" t="str">
        <f>_xlfn.IFNA(VLOOKUP($I137,$Y:$AB,3,FALSE),"Used")</f>
        <v>Used</v>
      </c>
      <c r="V137" s="3" t="str">
        <f>_xlfn.IFNA(VLOOKUP($I137,$Y:$AB,4,FALSE),"Used")</f>
        <v>Used</v>
      </c>
    </row>
    <row r="138" spans="10:22" x14ac:dyDescent="0.25">
      <c r="J138" t="e" cm="1">
        <f t="array" ref="J138">INDEX(Data!$D$1:$D$865,MATCH(1,("1+"&amp;$I138=Data!$A$1:$A$865)*(1236=Data!$B$1:$B$865),0))</f>
        <v>#N/A</v>
      </c>
      <c r="K138" t="e" cm="1">
        <f t="array" ref="K138">INDEX(Data!$D$1:$D$865,MATCH(1,("1+"&amp;$I138=Data!$A$1:$A$865)*(1237=Data!$B$1:$B$865),0))</f>
        <v>#N/A</v>
      </c>
      <c r="L138" t="e" cm="1">
        <f t="array" ref="L138">INDEX(Data!$D$1:$D$865,MATCH(1,("2+"&amp;$I138=Data!$A$1:$A$865)*(1236=Data!$B$1:$B$865),0))</f>
        <v>#N/A</v>
      </c>
      <c r="M138" t="e" cm="1">
        <f t="array" ref="M138">INDEX(Data!$D$1:$D$865,MATCH(1,("2+"&amp;$I138=Data!$A$1:$A$865)*(1237=Data!$B$1:$B$865),0))</f>
        <v>#N/A</v>
      </c>
      <c r="N138" t="e" cm="1">
        <f t="array" ref="N138">INDEX(Data!$D$1:$D$865,MATCH(1,("1+"&amp;$I138=Data!$A$1:$A$865)*(905=Data!$B$1:$B$865),0))</f>
        <v>#N/A</v>
      </c>
      <c r="O138" t="e" cm="1">
        <f t="array" ref="O138">INDEX(Data!$D$1:$D$865,MATCH(1,("1+"&amp;$I138=Data!$A$1:$A$865)*(906=Data!$B$1:$B$865),0))</f>
        <v>#N/A</v>
      </c>
      <c r="P138" t="e" cm="1">
        <f t="array" ref="P138">INDEX(Data!$D$1:$D$865,MATCH(1,("2+"&amp;$I138=Data!$A$1:$A$865)*(905=Data!$B$1:$B$865),0))</f>
        <v>#N/A</v>
      </c>
      <c r="Q138" t="e" cm="1">
        <f t="array" ref="Q138">INDEX(Data!$D$1:$D$865,MATCH(1,("2+"&amp;$I138=Data!$A$1:$A$865)*(906=Data!$B$1:$B$865),0))</f>
        <v>#N/A</v>
      </c>
      <c r="R138" t="e">
        <f t="shared" si="5"/>
        <v>#N/A</v>
      </c>
      <c r="S138" t="e">
        <f t="shared" si="6"/>
        <v>#N/A</v>
      </c>
      <c r="T138" s="3" t="str">
        <f>_xlfn.IFNA(VLOOKUP($I138,$Y:$AB,2,FALSE),"Used")</f>
        <v>Used</v>
      </c>
      <c r="U138" s="3" t="str">
        <f>_xlfn.IFNA(VLOOKUP($I138,$Y:$AB,3,FALSE),"Used")</f>
        <v>Used</v>
      </c>
      <c r="V138" s="3" t="str">
        <f>_xlfn.IFNA(VLOOKUP($I138,$Y:$AB,4,FALSE),"Used")</f>
        <v>Used</v>
      </c>
    </row>
    <row r="139" spans="10:22" x14ac:dyDescent="0.25">
      <c r="J139" t="e" cm="1">
        <f t="array" ref="J139">INDEX(Data!$D$1:$D$865,MATCH(1,("1+"&amp;$I139=Data!$A$1:$A$865)*(1236=Data!$B$1:$B$865),0))</f>
        <v>#N/A</v>
      </c>
      <c r="K139" t="e" cm="1">
        <f t="array" ref="K139">INDEX(Data!$D$1:$D$865,MATCH(1,("1+"&amp;$I139=Data!$A$1:$A$865)*(1237=Data!$B$1:$B$865),0))</f>
        <v>#N/A</v>
      </c>
      <c r="L139" t="e" cm="1">
        <f t="array" ref="L139">INDEX(Data!$D$1:$D$865,MATCH(1,("2+"&amp;$I139=Data!$A$1:$A$865)*(1236=Data!$B$1:$B$865),0))</f>
        <v>#N/A</v>
      </c>
      <c r="M139" t="e" cm="1">
        <f t="array" ref="M139">INDEX(Data!$D$1:$D$865,MATCH(1,("2+"&amp;$I139=Data!$A$1:$A$865)*(1237=Data!$B$1:$B$865),0))</f>
        <v>#N/A</v>
      </c>
      <c r="N139" t="e" cm="1">
        <f t="array" ref="N139">INDEX(Data!$D$1:$D$865,MATCH(1,("1+"&amp;$I139=Data!$A$1:$A$865)*(905=Data!$B$1:$B$865),0))</f>
        <v>#N/A</v>
      </c>
      <c r="O139" t="e" cm="1">
        <f t="array" ref="O139">INDEX(Data!$D$1:$D$865,MATCH(1,("1+"&amp;$I139=Data!$A$1:$A$865)*(906=Data!$B$1:$B$865),0))</f>
        <v>#N/A</v>
      </c>
      <c r="P139" t="e" cm="1">
        <f t="array" ref="P139">INDEX(Data!$D$1:$D$865,MATCH(1,("2+"&amp;$I139=Data!$A$1:$A$865)*(905=Data!$B$1:$B$865),0))</f>
        <v>#N/A</v>
      </c>
      <c r="Q139" t="e" cm="1">
        <f t="array" ref="Q139">INDEX(Data!$D$1:$D$865,MATCH(1,("2+"&amp;$I139=Data!$A$1:$A$865)*(906=Data!$B$1:$B$865),0))</f>
        <v>#N/A</v>
      </c>
      <c r="R139" t="e">
        <f t="shared" si="5"/>
        <v>#N/A</v>
      </c>
      <c r="S139" t="e">
        <f t="shared" si="6"/>
        <v>#N/A</v>
      </c>
      <c r="T139" s="3" t="str">
        <f>_xlfn.IFNA(VLOOKUP($I139,$Y:$AB,2,FALSE),"Used")</f>
        <v>Used</v>
      </c>
      <c r="U139" s="3" t="str">
        <f>_xlfn.IFNA(VLOOKUP($I139,$Y:$AB,3,FALSE),"Used")</f>
        <v>Used</v>
      </c>
      <c r="V139" s="3" t="str">
        <f>_xlfn.IFNA(VLOOKUP($I139,$Y:$AB,4,FALSE),"Used")</f>
        <v>Used</v>
      </c>
    </row>
    <row r="140" spans="10:22" x14ac:dyDescent="0.25">
      <c r="J140" t="e" cm="1">
        <f t="array" ref="J140">INDEX(Data!$D$1:$D$865,MATCH(1,("1+"&amp;$I140=Data!$A$1:$A$865)*(1236=Data!$B$1:$B$865),0))</f>
        <v>#N/A</v>
      </c>
      <c r="K140" t="e" cm="1">
        <f t="array" ref="K140">INDEX(Data!$D$1:$D$865,MATCH(1,("1+"&amp;$I140=Data!$A$1:$A$865)*(1237=Data!$B$1:$B$865),0))</f>
        <v>#N/A</v>
      </c>
      <c r="L140" t="e" cm="1">
        <f t="array" ref="L140">INDEX(Data!$D$1:$D$865,MATCH(1,("2+"&amp;$I140=Data!$A$1:$A$865)*(1236=Data!$B$1:$B$865),0))</f>
        <v>#N/A</v>
      </c>
      <c r="M140" t="e" cm="1">
        <f t="array" ref="M140">INDEX(Data!$D$1:$D$865,MATCH(1,("2+"&amp;$I140=Data!$A$1:$A$865)*(1237=Data!$B$1:$B$865),0))</f>
        <v>#N/A</v>
      </c>
      <c r="N140" t="e" cm="1">
        <f t="array" ref="N140">INDEX(Data!$D$1:$D$865,MATCH(1,("1+"&amp;$I140=Data!$A$1:$A$865)*(905=Data!$B$1:$B$865),0))</f>
        <v>#N/A</v>
      </c>
      <c r="O140" t="e" cm="1">
        <f t="array" ref="O140">INDEX(Data!$D$1:$D$865,MATCH(1,("1+"&amp;$I140=Data!$A$1:$A$865)*(906=Data!$B$1:$B$865),0))</f>
        <v>#N/A</v>
      </c>
      <c r="P140" t="e" cm="1">
        <f t="array" ref="P140">INDEX(Data!$D$1:$D$865,MATCH(1,("2+"&amp;$I140=Data!$A$1:$A$865)*(905=Data!$B$1:$B$865),0))</f>
        <v>#N/A</v>
      </c>
      <c r="Q140" t="e" cm="1">
        <f t="array" ref="Q140">INDEX(Data!$D$1:$D$865,MATCH(1,("2+"&amp;$I140=Data!$A$1:$A$865)*(906=Data!$B$1:$B$865),0))</f>
        <v>#N/A</v>
      </c>
      <c r="R140" t="e">
        <f t="shared" si="5"/>
        <v>#N/A</v>
      </c>
      <c r="S140" t="e">
        <f t="shared" si="6"/>
        <v>#N/A</v>
      </c>
      <c r="T140" s="3" t="str">
        <f>_xlfn.IFNA(VLOOKUP($I140,$Y:$AB,2,FALSE),"Used")</f>
        <v>Used</v>
      </c>
      <c r="U140" s="3" t="str">
        <f>_xlfn.IFNA(VLOOKUP($I140,$Y:$AB,3,FALSE),"Used")</f>
        <v>Used</v>
      </c>
      <c r="V140" s="3" t="str">
        <f>_xlfn.IFNA(VLOOKUP($I140,$Y:$AB,4,FALSE),"Used")</f>
        <v>Used</v>
      </c>
    </row>
    <row r="141" spans="10:22" x14ac:dyDescent="0.25">
      <c r="J141" t="e" cm="1">
        <f t="array" ref="J141">INDEX(Data!$D$1:$D$865,MATCH(1,("1+"&amp;$I141=Data!$A$1:$A$865)*(1236=Data!$B$1:$B$865),0))</f>
        <v>#N/A</v>
      </c>
      <c r="K141" t="e" cm="1">
        <f t="array" ref="K141">INDEX(Data!$D$1:$D$865,MATCH(1,("1+"&amp;$I141=Data!$A$1:$A$865)*(1237=Data!$B$1:$B$865),0))</f>
        <v>#N/A</v>
      </c>
      <c r="L141" t="e" cm="1">
        <f t="array" ref="L141">INDEX(Data!$D$1:$D$865,MATCH(1,("2+"&amp;$I141=Data!$A$1:$A$865)*(1236=Data!$B$1:$B$865),0))</f>
        <v>#N/A</v>
      </c>
      <c r="M141" t="e" cm="1">
        <f t="array" ref="M141">INDEX(Data!$D$1:$D$865,MATCH(1,("2+"&amp;$I141=Data!$A$1:$A$865)*(1237=Data!$B$1:$B$865),0))</f>
        <v>#N/A</v>
      </c>
      <c r="N141" t="e" cm="1">
        <f t="array" ref="N141">INDEX(Data!$D$1:$D$865,MATCH(1,("1+"&amp;$I141=Data!$A$1:$A$865)*(905=Data!$B$1:$B$865),0))</f>
        <v>#N/A</v>
      </c>
      <c r="O141" t="e" cm="1">
        <f t="array" ref="O141">INDEX(Data!$D$1:$D$865,MATCH(1,("1+"&amp;$I141=Data!$A$1:$A$865)*(906=Data!$B$1:$B$865),0))</f>
        <v>#N/A</v>
      </c>
      <c r="P141" t="e" cm="1">
        <f t="array" ref="P141">INDEX(Data!$D$1:$D$865,MATCH(1,("2+"&amp;$I141=Data!$A$1:$A$865)*(905=Data!$B$1:$B$865),0))</f>
        <v>#N/A</v>
      </c>
      <c r="Q141" t="e" cm="1">
        <f t="array" ref="Q141">INDEX(Data!$D$1:$D$865,MATCH(1,("2+"&amp;$I141=Data!$A$1:$A$865)*(906=Data!$B$1:$B$865),0))</f>
        <v>#N/A</v>
      </c>
      <c r="R141" t="e">
        <f t="shared" si="5"/>
        <v>#N/A</v>
      </c>
      <c r="S141" t="e">
        <f t="shared" si="6"/>
        <v>#N/A</v>
      </c>
      <c r="T141" s="3" t="str">
        <f>_xlfn.IFNA(VLOOKUP($I141,$Y:$AB,2,FALSE),"Used")</f>
        <v>Used</v>
      </c>
      <c r="U141" s="3" t="str">
        <f>_xlfn.IFNA(VLOOKUP($I141,$Y:$AB,3,FALSE),"Used")</f>
        <v>Used</v>
      </c>
      <c r="V141" s="3" t="str">
        <f>_xlfn.IFNA(VLOOKUP($I141,$Y:$AB,4,FALSE),"Used")</f>
        <v>Used</v>
      </c>
    </row>
    <row r="142" spans="10:22" x14ac:dyDescent="0.25">
      <c r="J142" t="e" cm="1">
        <f t="array" ref="J142">INDEX(Data!$D$1:$D$865,MATCH(1,("1+"&amp;$I142=Data!$A$1:$A$865)*(1236=Data!$B$1:$B$865),0))</f>
        <v>#N/A</v>
      </c>
      <c r="K142" t="e" cm="1">
        <f t="array" ref="K142">INDEX(Data!$D$1:$D$865,MATCH(1,("1+"&amp;$I142=Data!$A$1:$A$865)*(1237=Data!$B$1:$B$865),0))</f>
        <v>#N/A</v>
      </c>
      <c r="L142" t="e" cm="1">
        <f t="array" ref="L142">INDEX(Data!$D$1:$D$865,MATCH(1,("2+"&amp;$I142=Data!$A$1:$A$865)*(1236=Data!$B$1:$B$865),0))</f>
        <v>#N/A</v>
      </c>
      <c r="M142" t="e" cm="1">
        <f t="array" ref="M142">INDEX(Data!$D$1:$D$865,MATCH(1,("2+"&amp;$I142=Data!$A$1:$A$865)*(1237=Data!$B$1:$B$865),0))</f>
        <v>#N/A</v>
      </c>
      <c r="N142" t="e" cm="1">
        <f t="array" ref="N142">INDEX(Data!$D$1:$D$865,MATCH(1,("1+"&amp;$I142=Data!$A$1:$A$865)*(905=Data!$B$1:$B$865),0))</f>
        <v>#N/A</v>
      </c>
      <c r="O142" t="e" cm="1">
        <f t="array" ref="O142">INDEX(Data!$D$1:$D$865,MATCH(1,("1+"&amp;$I142=Data!$A$1:$A$865)*(906=Data!$B$1:$B$865),0))</f>
        <v>#N/A</v>
      </c>
      <c r="P142" t="e" cm="1">
        <f t="array" ref="P142">INDEX(Data!$D$1:$D$865,MATCH(1,("2+"&amp;$I142=Data!$A$1:$A$865)*(905=Data!$B$1:$B$865),0))</f>
        <v>#N/A</v>
      </c>
      <c r="Q142" t="e" cm="1">
        <f t="array" ref="Q142">INDEX(Data!$D$1:$D$865,MATCH(1,("2+"&amp;$I142=Data!$A$1:$A$865)*(906=Data!$B$1:$B$865),0))</f>
        <v>#N/A</v>
      </c>
      <c r="R142" t="e">
        <f t="shared" si="5"/>
        <v>#N/A</v>
      </c>
      <c r="S142" t="e">
        <f t="shared" si="6"/>
        <v>#N/A</v>
      </c>
      <c r="T142" s="3" t="str">
        <f>_xlfn.IFNA(VLOOKUP($I142,$Y:$AB,2,FALSE),"Used")</f>
        <v>Used</v>
      </c>
      <c r="U142" s="3" t="str">
        <f>_xlfn.IFNA(VLOOKUP($I142,$Y:$AB,3,FALSE),"Used")</f>
        <v>Used</v>
      </c>
      <c r="V142" s="3" t="str">
        <f>_xlfn.IFNA(VLOOKUP($I142,$Y:$AB,4,FALSE),"Used")</f>
        <v>Used</v>
      </c>
    </row>
    <row r="143" spans="10:22" x14ac:dyDescent="0.25">
      <c r="J143" t="e" cm="1">
        <f t="array" ref="J143">INDEX(Data!$D$1:$D$865,MATCH(1,("1+"&amp;$I143=Data!$A$1:$A$865)*(1236=Data!$B$1:$B$865),0))</f>
        <v>#N/A</v>
      </c>
      <c r="K143" t="e" cm="1">
        <f t="array" ref="K143">INDEX(Data!$D$1:$D$865,MATCH(1,("1+"&amp;$I143=Data!$A$1:$A$865)*(1237=Data!$B$1:$B$865),0))</f>
        <v>#N/A</v>
      </c>
      <c r="L143" t="e" cm="1">
        <f t="array" ref="L143">INDEX(Data!$D$1:$D$865,MATCH(1,("2+"&amp;$I143=Data!$A$1:$A$865)*(1236=Data!$B$1:$B$865),0))</f>
        <v>#N/A</v>
      </c>
      <c r="M143" t="e" cm="1">
        <f t="array" ref="M143">INDEX(Data!$D$1:$D$865,MATCH(1,("2+"&amp;$I143=Data!$A$1:$A$865)*(1237=Data!$B$1:$B$865),0))</f>
        <v>#N/A</v>
      </c>
      <c r="N143" t="e" cm="1">
        <f t="array" ref="N143">INDEX(Data!$D$1:$D$865,MATCH(1,("1+"&amp;$I143=Data!$A$1:$A$865)*(905=Data!$B$1:$B$865),0))</f>
        <v>#N/A</v>
      </c>
      <c r="O143" t="e" cm="1">
        <f t="array" ref="O143">INDEX(Data!$D$1:$D$865,MATCH(1,("1+"&amp;$I143=Data!$A$1:$A$865)*(906=Data!$B$1:$B$865),0))</f>
        <v>#N/A</v>
      </c>
      <c r="P143" t="e" cm="1">
        <f t="array" ref="P143">INDEX(Data!$D$1:$D$865,MATCH(1,("2+"&amp;$I143=Data!$A$1:$A$865)*(905=Data!$B$1:$B$865),0))</f>
        <v>#N/A</v>
      </c>
      <c r="Q143" t="e" cm="1">
        <f t="array" ref="Q143">INDEX(Data!$D$1:$D$865,MATCH(1,("2+"&amp;$I143=Data!$A$1:$A$865)*(906=Data!$B$1:$B$865),0))</f>
        <v>#N/A</v>
      </c>
      <c r="R143" t="e">
        <f t="shared" si="5"/>
        <v>#N/A</v>
      </c>
      <c r="S143" t="e">
        <f t="shared" si="6"/>
        <v>#N/A</v>
      </c>
      <c r="T143" s="3" t="str">
        <f>_xlfn.IFNA(VLOOKUP($I143,$Y:$AB,2,FALSE),"Used")</f>
        <v>Used</v>
      </c>
      <c r="U143" s="3" t="str">
        <f>_xlfn.IFNA(VLOOKUP($I143,$Y:$AB,3,FALSE),"Used")</f>
        <v>Used</v>
      </c>
      <c r="V143" s="3" t="str">
        <f>_xlfn.IFNA(VLOOKUP($I143,$Y:$AB,4,FALSE),"Used")</f>
        <v>Used</v>
      </c>
    </row>
  </sheetData>
  <mergeCells count="1">
    <mergeCell ref="G6:J6"/>
  </mergeCells>
  <conditionalFormatting sqref="F8:J8 L8">
    <cfRule type="cellIs" dxfId="4" priority="3" operator="between">
      <formula>3.641</formula>
      <formula>3.591</formula>
    </cfRule>
  </conditionalFormatting>
  <conditionalFormatting sqref="F9:J29 J30">
    <cfRule type="cellIs" dxfId="3" priority="5" operator="between">
      <formula>$B$20</formula>
      <formula>$B$21</formula>
    </cfRule>
  </conditionalFormatting>
  <conditionalFormatting sqref="E9:E19">
    <cfRule type="cellIs" dxfId="2" priority="1" operator="equal">
      <formula>$C$6*2.54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between" id="{90C5D8FB-F98C-4635-9C5B-7B04FB99E187}">
            <xm:f>Inventory!$B$2</xm:f>
            <xm:f>Inventory!$C$2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J131:S159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58CA1-B8D7-4692-86E4-B29F1231E903}">
  <sheetPr codeName="Sheet3"/>
  <dimension ref="A1:N99"/>
  <sheetViews>
    <sheetView tabSelected="1" topLeftCell="A3" workbookViewId="0">
      <selection activeCell="C25" sqref="C25"/>
    </sheetView>
  </sheetViews>
  <sheetFormatPr defaultRowHeight="15" x14ac:dyDescent="0.25"/>
  <cols>
    <col min="2" max="2" width="11.5703125" bestFit="1" customWidth="1"/>
    <col min="12" max="12" width="6.7109375" bestFit="1" customWidth="1"/>
    <col min="13" max="13" width="9.42578125" bestFit="1" customWidth="1"/>
    <col min="14" max="14" width="14.85546875" bestFit="1" customWidth="1"/>
  </cols>
  <sheetData>
    <row r="1" spans="1:14" x14ac:dyDescent="0.25">
      <c r="B1" s="23" t="s">
        <v>53</v>
      </c>
      <c r="C1" s="16" t="s">
        <v>54</v>
      </c>
    </row>
    <row r="2" spans="1:14" ht="15.75" thickBot="1" x14ac:dyDescent="0.3">
      <c r="B2" s="24">
        <v>4.5</v>
      </c>
      <c r="C2" s="25">
        <v>6</v>
      </c>
    </row>
    <row r="3" spans="1:14" x14ac:dyDescent="0.25">
      <c r="A3" s="4" t="str" cm="1">
        <f t="array" ref="A3:A38">_xlfn.UNIQUE(Data!M:M)</f>
        <v>boule_id</v>
      </c>
      <c r="B3" s="4" t="s">
        <v>64</v>
      </c>
      <c r="C3" s="4" t="s">
        <v>65</v>
      </c>
      <c r="D3" s="4" t="s">
        <v>66</v>
      </c>
      <c r="E3" s="4" t="s">
        <v>67</v>
      </c>
      <c r="F3" s="4" t="s">
        <v>68</v>
      </c>
      <c r="G3" s="4" t="s">
        <v>69</v>
      </c>
      <c r="H3" s="4" t="s">
        <v>70</v>
      </c>
      <c r="I3" s="4" t="s">
        <v>71</v>
      </c>
      <c r="J3" s="4" t="s">
        <v>72</v>
      </c>
      <c r="K3" s="4" t="s">
        <v>73</v>
      </c>
      <c r="L3" s="4" t="s">
        <v>74</v>
      </c>
      <c r="M3" s="4" t="s">
        <v>11</v>
      </c>
      <c r="N3" s="4" t="s">
        <v>75</v>
      </c>
    </row>
    <row r="4" spans="1:14" x14ac:dyDescent="0.25">
      <c r="A4" t="str">
        <v>A26-183</v>
      </c>
      <c r="B4" t="str" cm="1">
        <f t="array" ref="B4">_xlfn.IFNA(INDEX(Data!$D$1:$D$865,MATCH(1,("1+"&amp;$A4=Data!$A$1:$A$865)*(1236=Data!$B$1:$B$865),0)),"")</f>
        <v/>
      </c>
      <c r="C4" t="str" cm="1">
        <f t="array" ref="C4">_xlfn.IFNA(INDEX(Data!$D$1:$D$865,MATCH(1,("1+"&amp;$A4=Data!$A$1:$A$865)*(1237=Data!$B$1:$B$865),0)),"")</f>
        <v/>
      </c>
      <c r="D4" t="str" cm="1">
        <f t="array" ref="D4">_xlfn.IFNA(INDEX(Data!$D$1:$D$865,MATCH(1,("2+"&amp;$A4=Data!$A$1:$A$865)*(1236=Data!$B$1:$B$865),0)),"")</f>
        <v/>
      </c>
      <c r="E4" t="str" cm="1">
        <f t="array" ref="E4">_xlfn.IFNA(INDEX(Data!$D$1:$D$865,MATCH(1,("2+"&amp;$A4=Data!$A$1:$A$865)*(1237=Data!$B$1:$B$865),0)),"")</f>
        <v/>
      </c>
      <c r="F4" t="str" cm="1">
        <f t="array" ref="F4">_xlfn.IFNA(INDEX(Data!$D$1:$D$865,MATCH(1,("1+"&amp;$A4=Data!$A$1:$A$865)*(905=Data!$B$1:$B$865),0)),"")</f>
        <v/>
      </c>
      <c r="G4" t="str" cm="1">
        <f t="array" ref="G4">_xlfn.IFNA(INDEX(Data!$D$1:$D$865,MATCH(1,("1+"&amp;$A4=Data!$A$1:$A$865)*(906=Data!$B$1:$B$865),0)),"")</f>
        <v/>
      </c>
      <c r="H4" t="str" cm="1">
        <f t="array" ref="H4">_xlfn.IFNA(INDEX(Data!$D$1:$D$865,MATCH(1,("2+"&amp;$A4=Data!$A$1:$A$865)*(905=Data!$B$1:$B$865),0)),"")</f>
        <v/>
      </c>
      <c r="I4" t="str" cm="1">
        <f t="array" ref="I4">_xlfn.IFNA(INDEX(Data!$D$1:$D$865,MATCH(1,("2+"&amp;$A4=Data!$A$1:$A$865)*(906=Data!$B$1:$B$865),0)),"")</f>
        <v/>
      </c>
      <c r="J4" t="str">
        <f>IFERROR(AVERAGE(F4:G4),"")</f>
        <v/>
      </c>
      <c r="K4" t="str">
        <f>IFERROR(AVERAGE(H4:I4),"")</f>
        <v/>
      </c>
      <c r="L4" s="3" t="str">
        <f>_xlfn.IFNA(VLOOKUP($A4,'Cr4+'!$Y:$AB,2,FALSE),"")</f>
        <v>T12</v>
      </c>
      <c r="M4" s="3">
        <f>_xlfn.IFNA((VLOOKUP($A4,'Cr4+'!$Y:$AB,3,FALSE)),"")</f>
        <v>4</v>
      </c>
      <c r="N4" s="3">
        <f>_xlfn.IFNA(VLOOKUP($A4,'Cr4+'!$Y:$AB,4,FALSE),"")</f>
        <v>103</v>
      </c>
    </row>
    <row r="5" spans="1:14" x14ac:dyDescent="0.25">
      <c r="A5" t="str">
        <v>A26-202</v>
      </c>
      <c r="B5" t="str" cm="1">
        <f t="array" ref="B5">_xlfn.IFNA(INDEX(Data!$D$1:$D$865,MATCH(1,("1+"&amp;$A5=Data!$A$1:$A$865)*(1236=Data!$B$1:$B$865),0)),"")</f>
        <v/>
      </c>
      <c r="C5" t="str" cm="1">
        <f t="array" ref="C5">_xlfn.IFNA(INDEX(Data!$D$1:$D$865,MATCH(1,("1+"&amp;$A5=Data!$A$1:$A$865)*(1237=Data!$B$1:$B$865),0)),"")</f>
        <v/>
      </c>
      <c r="D5" t="str" cm="1">
        <f t="array" ref="D5">_xlfn.IFNA(INDEX(Data!$D$1:$D$865,MATCH(1,("2+"&amp;$A5=Data!$A$1:$A$865)*(1236=Data!$B$1:$B$865),0)),"")</f>
        <v/>
      </c>
      <c r="E5" t="str" cm="1">
        <f t="array" ref="E5">_xlfn.IFNA(INDEX(Data!$D$1:$D$865,MATCH(1,("2+"&amp;$A5=Data!$A$1:$A$865)*(1237=Data!$B$1:$B$865),0)),"")</f>
        <v/>
      </c>
      <c r="F5" t="str" cm="1">
        <f t="array" ref="F5">_xlfn.IFNA(INDEX(Data!$D$1:$D$865,MATCH(1,("1+"&amp;$A5=Data!$A$1:$A$865)*(905=Data!$B$1:$B$865),0)),"")</f>
        <v/>
      </c>
      <c r="G5" t="str" cm="1">
        <f t="array" ref="G5">_xlfn.IFNA(INDEX(Data!$D$1:$D$865,MATCH(1,("1+"&amp;$A5=Data!$A$1:$A$865)*(906=Data!$B$1:$B$865),0)),"")</f>
        <v/>
      </c>
      <c r="H5" t="str" cm="1">
        <f t="array" ref="H5">_xlfn.IFNA(INDEX(Data!$D$1:$D$865,MATCH(1,("2+"&amp;$A5=Data!$A$1:$A$865)*(905=Data!$B$1:$B$865),0)),"")</f>
        <v/>
      </c>
      <c r="I5" t="str" cm="1">
        <f t="array" ref="I5">_xlfn.IFNA(INDEX(Data!$D$1:$D$865,MATCH(1,("2+"&amp;$A5=Data!$A$1:$A$865)*(906=Data!$B$1:$B$865),0)),"")</f>
        <v/>
      </c>
      <c r="J5" t="str">
        <f t="shared" ref="J5:J68" si="0">IFERROR(AVERAGE(F5:G5),"")</f>
        <v/>
      </c>
      <c r="K5" t="str">
        <f t="shared" ref="K5:K68" si="1">IFERROR(AVERAGE(H5:I5),"")</f>
        <v/>
      </c>
      <c r="L5" s="3" t="str">
        <f>_xlfn.IFNA(VLOOKUP($A5,'Cr4+'!$Y:$AB,2,FALSE),"")</f>
        <v>T</v>
      </c>
      <c r="M5" s="3">
        <f>_xlfn.IFNA((VLOOKUP($A5,'Cr4+'!$Y:$AB,3,FALSE)),"")</f>
        <v>120</v>
      </c>
      <c r="N5" s="3">
        <f>_xlfn.IFNA(VLOOKUP($A5,'Cr4+'!$Y:$AB,4,FALSE),"")</f>
        <v>0</v>
      </c>
    </row>
    <row r="6" spans="1:14" x14ac:dyDescent="0.25">
      <c r="A6" t="str">
        <v>A26-214</v>
      </c>
      <c r="B6" t="str" cm="1">
        <f t="array" ref="B6">_xlfn.IFNA(INDEX(Data!$D$1:$D$865,MATCH(1,("1+"&amp;$A6=Data!$A$1:$A$865)*(1236=Data!$B$1:$B$865),0)),"")</f>
        <v/>
      </c>
      <c r="C6" t="str" cm="1">
        <f t="array" ref="C6">_xlfn.IFNA(INDEX(Data!$D$1:$D$865,MATCH(1,("1+"&amp;$A6=Data!$A$1:$A$865)*(1237=Data!$B$1:$B$865),0)),"")</f>
        <v/>
      </c>
      <c r="D6" t="str" cm="1">
        <f t="array" ref="D6">_xlfn.IFNA(INDEX(Data!$D$1:$D$865,MATCH(1,("2+"&amp;$A6=Data!$A$1:$A$865)*(1236=Data!$B$1:$B$865),0)),"")</f>
        <v/>
      </c>
      <c r="E6" t="str" cm="1">
        <f t="array" ref="E6">_xlfn.IFNA(INDEX(Data!$D$1:$D$865,MATCH(1,("2+"&amp;$A6=Data!$A$1:$A$865)*(1237=Data!$B$1:$B$865),0)),"")</f>
        <v/>
      </c>
      <c r="F6" t="str" cm="1">
        <f t="array" ref="F6">_xlfn.IFNA(INDEX(Data!$D$1:$D$865,MATCH(1,("1+"&amp;$A6=Data!$A$1:$A$865)*(905=Data!$B$1:$B$865),0)),"")</f>
        <v/>
      </c>
      <c r="G6" t="str" cm="1">
        <f t="array" ref="G6">_xlfn.IFNA(INDEX(Data!$D$1:$D$865,MATCH(1,("1+"&amp;$A6=Data!$A$1:$A$865)*(906=Data!$B$1:$B$865),0)),"")</f>
        <v/>
      </c>
      <c r="H6" t="str" cm="1">
        <f t="array" ref="H6">_xlfn.IFNA(INDEX(Data!$D$1:$D$865,MATCH(1,("2+"&amp;$A6=Data!$A$1:$A$865)*(905=Data!$B$1:$B$865),0)),"")</f>
        <v/>
      </c>
      <c r="I6" t="str" cm="1">
        <f t="array" ref="I6">_xlfn.IFNA(INDEX(Data!$D$1:$D$865,MATCH(1,("2+"&amp;$A6=Data!$A$1:$A$865)*(906=Data!$B$1:$B$865),0)),"")</f>
        <v/>
      </c>
      <c r="J6" t="str">
        <f t="shared" si="0"/>
        <v/>
      </c>
      <c r="K6" t="str">
        <f t="shared" si="1"/>
        <v/>
      </c>
      <c r="L6" s="3" t="str">
        <f>_xlfn.IFNA(VLOOKUP($A6,'Cr4+'!$Y:$AB,2,FALSE),"")</f>
        <v>T2</v>
      </c>
      <c r="M6" s="3">
        <f>_xlfn.IFNA((VLOOKUP($A6,'Cr4+'!$Y:$AB,3,FALSE)),"")</f>
        <v>17</v>
      </c>
      <c r="N6" s="3">
        <f>_xlfn.IFNA(VLOOKUP($A6,'Cr4+'!$Y:$AB,4,FALSE),"")</f>
        <v>103</v>
      </c>
    </row>
    <row r="7" spans="1:14" x14ac:dyDescent="0.25">
      <c r="A7" t="str">
        <v>A26-220</v>
      </c>
      <c r="B7" t="str" cm="1">
        <f t="array" ref="B7">_xlfn.IFNA(INDEX(Data!$D$1:$D$865,MATCH(1,("1+"&amp;$A7=Data!$A$1:$A$865)*(1236=Data!$B$1:$B$865),0)),"")</f>
        <v/>
      </c>
      <c r="C7" t="str" cm="1">
        <f t="array" ref="C7">_xlfn.IFNA(INDEX(Data!$D$1:$D$865,MATCH(1,("1+"&amp;$A7=Data!$A$1:$A$865)*(1237=Data!$B$1:$B$865),0)),"")</f>
        <v/>
      </c>
      <c r="D7" t="str" cm="1">
        <f t="array" ref="D7">_xlfn.IFNA(INDEX(Data!$D$1:$D$865,MATCH(1,("2+"&amp;$A7=Data!$A$1:$A$865)*(1236=Data!$B$1:$B$865),0)),"")</f>
        <v/>
      </c>
      <c r="E7" t="str" cm="1">
        <f t="array" ref="E7">_xlfn.IFNA(INDEX(Data!$D$1:$D$865,MATCH(1,("2+"&amp;$A7=Data!$A$1:$A$865)*(1237=Data!$B$1:$B$865),0)),"")</f>
        <v/>
      </c>
      <c r="F7" t="str" cm="1">
        <f t="array" ref="F7">_xlfn.IFNA(INDEX(Data!$D$1:$D$865,MATCH(1,("1+"&amp;$A7=Data!$A$1:$A$865)*(905=Data!$B$1:$B$865),0)),"")</f>
        <v/>
      </c>
      <c r="G7" t="str" cm="1">
        <f t="array" ref="G7">_xlfn.IFNA(INDEX(Data!$D$1:$D$865,MATCH(1,("1+"&amp;$A7=Data!$A$1:$A$865)*(906=Data!$B$1:$B$865),0)),"")</f>
        <v/>
      </c>
      <c r="H7" t="str" cm="1">
        <f t="array" ref="H7">_xlfn.IFNA(INDEX(Data!$D$1:$D$865,MATCH(1,("2+"&amp;$A7=Data!$A$1:$A$865)*(905=Data!$B$1:$B$865),0)),"")</f>
        <v/>
      </c>
      <c r="I7" t="str" cm="1">
        <f t="array" ref="I7">_xlfn.IFNA(INDEX(Data!$D$1:$D$865,MATCH(1,("2+"&amp;$A7=Data!$A$1:$A$865)*(906=Data!$B$1:$B$865),0)),"")</f>
        <v/>
      </c>
      <c r="J7" t="str">
        <f t="shared" si="0"/>
        <v/>
      </c>
      <c r="K7" t="str">
        <f t="shared" si="1"/>
        <v/>
      </c>
      <c r="L7" s="3" t="str">
        <f>_xlfn.IFNA(VLOOKUP($A7,'Cr4+'!$Y:$AB,2,FALSE),"")</f>
        <v>T</v>
      </c>
      <c r="M7" s="3">
        <f>_xlfn.IFNA((VLOOKUP($A7,'Cr4+'!$Y:$AB,3,FALSE)),"")</f>
        <v>116</v>
      </c>
      <c r="N7" s="3">
        <f>_xlfn.IFNA(VLOOKUP($A7,'Cr4+'!$Y:$AB,4,FALSE),"")</f>
        <v>0</v>
      </c>
    </row>
    <row r="8" spans="1:14" x14ac:dyDescent="0.25">
      <c r="A8" t="str">
        <v>A26-221</v>
      </c>
      <c r="B8" t="str" cm="1">
        <f t="array" ref="B8">_xlfn.IFNA(INDEX(Data!$D$1:$D$865,MATCH(1,("1+"&amp;$A8=Data!$A$1:$A$865)*(1236=Data!$B$1:$B$865),0)),"")</f>
        <v/>
      </c>
      <c r="C8" t="str" cm="1">
        <f t="array" ref="C8">_xlfn.IFNA(INDEX(Data!$D$1:$D$865,MATCH(1,("1+"&amp;$A8=Data!$A$1:$A$865)*(1237=Data!$B$1:$B$865),0)),"")</f>
        <v/>
      </c>
      <c r="D8" t="str" cm="1">
        <f t="array" ref="D8">_xlfn.IFNA(INDEX(Data!$D$1:$D$865,MATCH(1,("2+"&amp;$A8=Data!$A$1:$A$865)*(1236=Data!$B$1:$B$865),0)),"")</f>
        <v/>
      </c>
      <c r="E8" t="str" cm="1">
        <f t="array" ref="E8">_xlfn.IFNA(INDEX(Data!$D$1:$D$865,MATCH(1,("2+"&amp;$A8=Data!$A$1:$A$865)*(1237=Data!$B$1:$B$865),0)),"")</f>
        <v/>
      </c>
      <c r="F8" t="str" cm="1">
        <f t="array" ref="F8">_xlfn.IFNA(INDEX(Data!$D$1:$D$865,MATCH(1,("1+"&amp;$A8=Data!$A$1:$A$865)*(905=Data!$B$1:$B$865),0)),"")</f>
        <v/>
      </c>
      <c r="G8" t="str" cm="1">
        <f t="array" ref="G8">_xlfn.IFNA(INDEX(Data!$D$1:$D$865,MATCH(1,("1+"&amp;$A8=Data!$A$1:$A$865)*(906=Data!$B$1:$B$865),0)),"")</f>
        <v/>
      </c>
      <c r="H8" t="str" cm="1">
        <f t="array" ref="H8">_xlfn.IFNA(INDEX(Data!$D$1:$D$865,MATCH(1,("2+"&amp;$A8=Data!$A$1:$A$865)*(905=Data!$B$1:$B$865),0)),"")</f>
        <v/>
      </c>
      <c r="I8" t="str" cm="1">
        <f t="array" ref="I8">_xlfn.IFNA(INDEX(Data!$D$1:$D$865,MATCH(1,("2+"&amp;$A8=Data!$A$1:$A$865)*(906=Data!$B$1:$B$865),0)),"")</f>
        <v/>
      </c>
      <c r="J8" t="str">
        <f t="shared" si="0"/>
        <v/>
      </c>
      <c r="K8" t="str">
        <f t="shared" si="1"/>
        <v/>
      </c>
      <c r="L8" s="3" t="str">
        <f>_xlfn.IFNA(VLOOKUP($A8,'Cr4+'!$Y:$AB,2,FALSE),"")</f>
        <v>T2</v>
      </c>
      <c r="M8" s="3">
        <f>_xlfn.IFNA((VLOOKUP($A8,'Cr4+'!$Y:$AB,3,FALSE)),"")</f>
        <v>42</v>
      </c>
      <c r="N8" s="3">
        <f>_xlfn.IFNA(VLOOKUP($A8,'Cr4+'!$Y:$AB,4,FALSE),"")</f>
        <v>23</v>
      </c>
    </row>
    <row r="9" spans="1:14" x14ac:dyDescent="0.25">
      <c r="A9" t="str">
        <v>A26-261</v>
      </c>
      <c r="B9" t="str" cm="1">
        <f t="array" ref="B9">_xlfn.IFNA(INDEX(Data!$D$1:$D$865,MATCH(1,("1+"&amp;$A9=Data!$A$1:$A$865)*(1236=Data!$B$1:$B$865),0)),"")</f>
        <v/>
      </c>
      <c r="C9" t="str" cm="1">
        <f t="array" ref="C9">_xlfn.IFNA(INDEX(Data!$D$1:$D$865,MATCH(1,("1+"&amp;$A9=Data!$A$1:$A$865)*(1237=Data!$B$1:$B$865),0)),"")</f>
        <v/>
      </c>
      <c r="D9" t="str" cm="1">
        <f t="array" ref="D9">_xlfn.IFNA(INDEX(Data!$D$1:$D$865,MATCH(1,("2+"&amp;$A9=Data!$A$1:$A$865)*(1236=Data!$B$1:$B$865),0)),"")</f>
        <v/>
      </c>
      <c r="E9" t="str" cm="1">
        <f t="array" ref="E9">_xlfn.IFNA(INDEX(Data!$D$1:$D$865,MATCH(1,("2+"&amp;$A9=Data!$A$1:$A$865)*(1237=Data!$B$1:$B$865),0)),"")</f>
        <v/>
      </c>
      <c r="F9" t="str" cm="1">
        <f t="array" ref="F9">_xlfn.IFNA(INDEX(Data!$D$1:$D$865,MATCH(1,("1+"&amp;$A9=Data!$A$1:$A$865)*(905=Data!$B$1:$B$865),0)),"")</f>
        <v/>
      </c>
      <c r="G9" t="str" cm="1">
        <f t="array" ref="G9">_xlfn.IFNA(INDEX(Data!$D$1:$D$865,MATCH(1,("1+"&amp;$A9=Data!$A$1:$A$865)*(906=Data!$B$1:$B$865),0)),"")</f>
        <v/>
      </c>
      <c r="H9" t="str" cm="1">
        <f t="array" ref="H9">_xlfn.IFNA(INDEX(Data!$D$1:$D$865,MATCH(1,("2+"&amp;$A9=Data!$A$1:$A$865)*(905=Data!$B$1:$B$865),0)),"")</f>
        <v/>
      </c>
      <c r="I9" t="str" cm="1">
        <f t="array" ref="I9">_xlfn.IFNA(INDEX(Data!$D$1:$D$865,MATCH(1,("2+"&amp;$A9=Data!$A$1:$A$865)*(906=Data!$B$1:$B$865),0)),"")</f>
        <v/>
      </c>
      <c r="J9" t="str">
        <f t="shared" si="0"/>
        <v/>
      </c>
      <c r="K9" t="str">
        <f t="shared" si="1"/>
        <v/>
      </c>
      <c r="L9" s="3" t="str">
        <f>_xlfn.IFNA(VLOOKUP($A9,'Cr4+'!$Y:$AB,2,FALSE),"")</f>
        <v>T</v>
      </c>
      <c r="M9" s="3">
        <f>_xlfn.IFNA((VLOOKUP($A9,'Cr4+'!$Y:$AB,3,FALSE)),"")</f>
        <v>100</v>
      </c>
      <c r="N9" s="3">
        <f>_xlfn.IFNA(VLOOKUP($A9,'Cr4+'!$Y:$AB,4,FALSE),"")</f>
        <v>0</v>
      </c>
    </row>
    <row r="10" spans="1:14" x14ac:dyDescent="0.25">
      <c r="A10" t="str">
        <v>A26-280</v>
      </c>
      <c r="B10" t="str" cm="1">
        <f t="array" ref="B10">_xlfn.IFNA(INDEX(Data!$D$1:$D$865,MATCH(1,("1+"&amp;$A10=Data!$A$1:$A$865)*(1236=Data!$B$1:$B$865),0)),"")</f>
        <v/>
      </c>
      <c r="C10" t="str" cm="1">
        <f t="array" ref="C10">_xlfn.IFNA(INDEX(Data!$D$1:$D$865,MATCH(1,("1+"&amp;$A10=Data!$A$1:$A$865)*(1237=Data!$B$1:$B$865),0)),"")</f>
        <v/>
      </c>
      <c r="D10" t="str" cm="1">
        <f t="array" ref="D10">_xlfn.IFNA(INDEX(Data!$D$1:$D$865,MATCH(1,("2+"&amp;$A10=Data!$A$1:$A$865)*(1236=Data!$B$1:$B$865),0)),"")</f>
        <v/>
      </c>
      <c r="E10" t="str" cm="1">
        <f t="array" ref="E10">_xlfn.IFNA(INDEX(Data!$D$1:$D$865,MATCH(1,("2+"&amp;$A10=Data!$A$1:$A$865)*(1237=Data!$B$1:$B$865),0)),"")</f>
        <v/>
      </c>
      <c r="F10" t="str" cm="1">
        <f t="array" ref="F10">_xlfn.IFNA(INDEX(Data!$D$1:$D$865,MATCH(1,("1+"&amp;$A10=Data!$A$1:$A$865)*(905=Data!$B$1:$B$865),0)),"")</f>
        <v/>
      </c>
      <c r="G10" t="str" cm="1">
        <f t="array" ref="G10">_xlfn.IFNA(INDEX(Data!$D$1:$D$865,MATCH(1,("1+"&amp;$A10=Data!$A$1:$A$865)*(906=Data!$B$1:$B$865),0)),"")</f>
        <v/>
      </c>
      <c r="H10" t="str" cm="1">
        <f t="array" ref="H10">_xlfn.IFNA(INDEX(Data!$D$1:$D$865,MATCH(1,("2+"&amp;$A10=Data!$A$1:$A$865)*(905=Data!$B$1:$B$865),0)),"")</f>
        <v/>
      </c>
      <c r="I10" t="str" cm="1">
        <f t="array" ref="I10">_xlfn.IFNA(INDEX(Data!$D$1:$D$865,MATCH(1,("2+"&amp;$A10=Data!$A$1:$A$865)*(906=Data!$B$1:$B$865),0)),"")</f>
        <v/>
      </c>
      <c r="J10" t="str">
        <f t="shared" si="0"/>
        <v/>
      </c>
      <c r="K10" t="str">
        <f t="shared" si="1"/>
        <v/>
      </c>
      <c r="L10" s="3" t="str">
        <f>_xlfn.IFNA(VLOOKUP($A10,'Cr4+'!$Y:$AB,2,FALSE),"")</f>
        <v>T</v>
      </c>
      <c r="M10" s="3">
        <f>_xlfn.IFNA((VLOOKUP($A10,'Cr4+'!$Y:$AB,3,FALSE)),"")</f>
        <v>99</v>
      </c>
      <c r="N10" s="3">
        <f>_xlfn.IFNA(VLOOKUP($A10,'Cr4+'!$Y:$AB,4,FALSE),"")</f>
        <v>0</v>
      </c>
    </row>
    <row r="11" spans="1:14" x14ac:dyDescent="0.25">
      <c r="A11" t="str">
        <v>A26-290</v>
      </c>
      <c r="B11" t="str" cm="1">
        <f t="array" ref="B11">_xlfn.IFNA(INDEX(Data!$D$1:$D$865,MATCH(1,("1+"&amp;$A11=Data!$A$1:$A$865)*(1236=Data!$B$1:$B$865),0)),"")</f>
        <v/>
      </c>
      <c r="C11" t="str" cm="1">
        <f t="array" ref="C11">_xlfn.IFNA(INDEX(Data!$D$1:$D$865,MATCH(1,("1+"&amp;$A11=Data!$A$1:$A$865)*(1237=Data!$B$1:$B$865),0)),"")</f>
        <v/>
      </c>
      <c r="D11" t="str" cm="1">
        <f t="array" ref="D11">_xlfn.IFNA(INDEX(Data!$D$1:$D$865,MATCH(1,("2+"&amp;$A11=Data!$A$1:$A$865)*(1236=Data!$B$1:$B$865),0)),"")</f>
        <v/>
      </c>
      <c r="E11" t="str" cm="1">
        <f t="array" ref="E11">_xlfn.IFNA(INDEX(Data!$D$1:$D$865,MATCH(1,("2+"&amp;$A11=Data!$A$1:$A$865)*(1237=Data!$B$1:$B$865),0)),"")</f>
        <v/>
      </c>
      <c r="F11" t="str" cm="1">
        <f t="array" ref="F11">_xlfn.IFNA(INDEX(Data!$D$1:$D$865,MATCH(1,("1+"&amp;$A11=Data!$A$1:$A$865)*(905=Data!$B$1:$B$865),0)),"")</f>
        <v/>
      </c>
      <c r="G11" t="str" cm="1">
        <f t="array" ref="G11">_xlfn.IFNA(INDEX(Data!$D$1:$D$865,MATCH(1,("1+"&amp;$A11=Data!$A$1:$A$865)*(906=Data!$B$1:$B$865),0)),"")</f>
        <v/>
      </c>
      <c r="H11" t="str" cm="1">
        <f t="array" ref="H11">_xlfn.IFNA(INDEX(Data!$D$1:$D$865,MATCH(1,("2+"&amp;$A11=Data!$A$1:$A$865)*(905=Data!$B$1:$B$865),0)),"")</f>
        <v/>
      </c>
      <c r="I11" t="str" cm="1">
        <f t="array" ref="I11">_xlfn.IFNA(INDEX(Data!$D$1:$D$865,MATCH(1,("2+"&amp;$A11=Data!$A$1:$A$865)*(906=Data!$B$1:$B$865),0)),"")</f>
        <v/>
      </c>
      <c r="J11" t="str">
        <f t="shared" si="0"/>
        <v/>
      </c>
      <c r="K11" t="str">
        <f t="shared" si="1"/>
        <v/>
      </c>
      <c r="L11" s="3" t="str">
        <f>_xlfn.IFNA(VLOOKUP($A11,'Cr4+'!$Y:$AB,2,FALSE),"")</f>
        <v>T</v>
      </c>
      <c r="M11" s="3">
        <f>_xlfn.IFNA((VLOOKUP($A11,'Cr4+'!$Y:$AB,3,FALSE)),"")</f>
        <v>98</v>
      </c>
      <c r="N11" s="3">
        <f>_xlfn.IFNA(VLOOKUP($A11,'Cr4+'!$Y:$AB,4,FALSE),"")</f>
        <v>0</v>
      </c>
    </row>
    <row r="12" spans="1:14" x14ac:dyDescent="0.25">
      <c r="A12" t="str">
        <v>A26-293</v>
      </c>
      <c r="B12" t="str" cm="1">
        <f t="array" ref="B12">_xlfn.IFNA(INDEX(Data!$D$1:$D$865,MATCH(1,("1+"&amp;$A12=Data!$A$1:$A$865)*(1236=Data!$B$1:$B$865),0)),"")</f>
        <v/>
      </c>
      <c r="C12" t="str" cm="1">
        <f t="array" ref="C12">_xlfn.IFNA(INDEX(Data!$D$1:$D$865,MATCH(1,("1+"&amp;$A12=Data!$A$1:$A$865)*(1237=Data!$B$1:$B$865),0)),"")</f>
        <v/>
      </c>
      <c r="D12" t="str" cm="1">
        <f t="array" ref="D12">_xlfn.IFNA(INDEX(Data!$D$1:$D$865,MATCH(1,("2+"&amp;$A12=Data!$A$1:$A$865)*(1236=Data!$B$1:$B$865),0)),"")</f>
        <v/>
      </c>
      <c r="E12" t="str" cm="1">
        <f t="array" ref="E12">_xlfn.IFNA(INDEX(Data!$D$1:$D$865,MATCH(1,("2+"&amp;$A12=Data!$A$1:$A$865)*(1237=Data!$B$1:$B$865),0)),"")</f>
        <v/>
      </c>
      <c r="F12" t="str" cm="1">
        <f t="array" ref="F12">_xlfn.IFNA(INDEX(Data!$D$1:$D$865,MATCH(1,("1+"&amp;$A12=Data!$A$1:$A$865)*(905=Data!$B$1:$B$865),0)),"")</f>
        <v/>
      </c>
      <c r="G12" t="str" cm="1">
        <f t="array" ref="G12">_xlfn.IFNA(INDEX(Data!$D$1:$D$865,MATCH(1,("1+"&amp;$A12=Data!$A$1:$A$865)*(906=Data!$B$1:$B$865),0)),"")</f>
        <v/>
      </c>
      <c r="H12" t="str" cm="1">
        <f t="array" ref="H12">_xlfn.IFNA(INDEX(Data!$D$1:$D$865,MATCH(1,("2+"&amp;$A12=Data!$A$1:$A$865)*(905=Data!$B$1:$B$865),0)),"")</f>
        <v/>
      </c>
      <c r="I12" t="str" cm="1">
        <f t="array" ref="I12">_xlfn.IFNA(INDEX(Data!$D$1:$D$865,MATCH(1,("2+"&amp;$A12=Data!$A$1:$A$865)*(906=Data!$B$1:$B$865),0)),"")</f>
        <v/>
      </c>
      <c r="J12" t="str">
        <f t="shared" si="0"/>
        <v/>
      </c>
      <c r="K12" t="str">
        <f t="shared" si="1"/>
        <v/>
      </c>
      <c r="L12" s="3" t="str">
        <f>_xlfn.IFNA(VLOOKUP($A12,'Cr4+'!$Y:$AB,2,FALSE),"")</f>
        <v>T</v>
      </c>
      <c r="M12" s="3">
        <f>_xlfn.IFNA((VLOOKUP($A12,'Cr4+'!$Y:$AB,3,FALSE)),"")</f>
        <v>93</v>
      </c>
      <c r="N12" s="3">
        <f>_xlfn.IFNA(VLOOKUP($A12,'Cr4+'!$Y:$AB,4,FALSE),"")</f>
        <v>0</v>
      </c>
    </row>
    <row r="13" spans="1:14" x14ac:dyDescent="0.25">
      <c r="A13" t="str">
        <v>A26-314</v>
      </c>
      <c r="B13" t="str" cm="1">
        <f t="array" ref="B13">_xlfn.IFNA(INDEX(Data!$D$1:$D$865,MATCH(1,("1+"&amp;$A13=Data!$A$1:$A$865)*(1236=Data!$B$1:$B$865),0)),"")</f>
        <v/>
      </c>
      <c r="C13" t="str" cm="1">
        <f t="array" ref="C13">_xlfn.IFNA(INDEX(Data!$D$1:$D$865,MATCH(1,("1+"&amp;$A13=Data!$A$1:$A$865)*(1237=Data!$B$1:$B$865),0)),"")</f>
        <v/>
      </c>
      <c r="D13" t="str" cm="1">
        <f t="array" ref="D13">_xlfn.IFNA(INDEX(Data!$D$1:$D$865,MATCH(1,("2+"&amp;$A13=Data!$A$1:$A$865)*(1236=Data!$B$1:$B$865),0)),"")</f>
        <v/>
      </c>
      <c r="E13" t="str" cm="1">
        <f t="array" ref="E13">_xlfn.IFNA(INDEX(Data!$D$1:$D$865,MATCH(1,("2+"&amp;$A13=Data!$A$1:$A$865)*(1237=Data!$B$1:$B$865),0)),"")</f>
        <v/>
      </c>
      <c r="F13" t="str" cm="1">
        <f t="array" ref="F13">_xlfn.IFNA(INDEX(Data!$D$1:$D$865,MATCH(1,("1+"&amp;$A13=Data!$A$1:$A$865)*(905=Data!$B$1:$B$865),0)),"")</f>
        <v/>
      </c>
      <c r="G13" t="str" cm="1">
        <f t="array" ref="G13">_xlfn.IFNA(INDEX(Data!$D$1:$D$865,MATCH(1,("1+"&amp;$A13=Data!$A$1:$A$865)*(906=Data!$B$1:$B$865),0)),"")</f>
        <v/>
      </c>
      <c r="H13" t="str" cm="1">
        <f t="array" ref="H13">_xlfn.IFNA(INDEX(Data!$D$1:$D$865,MATCH(1,("2+"&amp;$A13=Data!$A$1:$A$865)*(905=Data!$B$1:$B$865),0)),"")</f>
        <v/>
      </c>
      <c r="I13" t="str" cm="1">
        <f t="array" ref="I13">_xlfn.IFNA(INDEX(Data!$D$1:$D$865,MATCH(1,("2+"&amp;$A13=Data!$A$1:$A$865)*(906=Data!$B$1:$B$865),0)),"")</f>
        <v/>
      </c>
      <c r="J13" t="str">
        <f t="shared" si="0"/>
        <v/>
      </c>
      <c r="K13" t="str">
        <f t="shared" si="1"/>
        <v/>
      </c>
      <c r="L13" s="3" t="str">
        <f>_xlfn.IFNA(VLOOKUP($A13,'Cr4+'!$Y:$AB,2,FALSE),"")</f>
        <v>T222</v>
      </c>
      <c r="M13" s="3">
        <f>_xlfn.IFNA((VLOOKUP($A13,'Cr4+'!$Y:$AB,3,FALSE)),"")</f>
        <v>28</v>
      </c>
      <c r="N13" s="3">
        <f>_xlfn.IFNA(VLOOKUP($A13,'Cr4+'!$Y:$AB,4,FALSE),"")</f>
        <v>77</v>
      </c>
    </row>
    <row r="14" spans="1:14" x14ac:dyDescent="0.25">
      <c r="A14" t="str">
        <v>A26-319</v>
      </c>
      <c r="B14" t="str" cm="1">
        <f t="array" ref="B14">_xlfn.IFNA(INDEX(Data!$D$1:$D$865,MATCH(1,("1+"&amp;$A14=Data!$A$1:$A$865)*(1236=Data!$B$1:$B$865),0)),"")</f>
        <v/>
      </c>
      <c r="C14" t="str" cm="1">
        <f t="array" ref="C14">_xlfn.IFNA(INDEX(Data!$D$1:$D$865,MATCH(1,("1+"&amp;$A14=Data!$A$1:$A$865)*(1237=Data!$B$1:$B$865),0)),"")</f>
        <v/>
      </c>
      <c r="D14" t="str" cm="1">
        <f t="array" ref="D14">_xlfn.IFNA(INDEX(Data!$D$1:$D$865,MATCH(1,("2+"&amp;$A14=Data!$A$1:$A$865)*(1236=Data!$B$1:$B$865),0)),"")</f>
        <v/>
      </c>
      <c r="E14" t="str" cm="1">
        <f t="array" ref="E14">_xlfn.IFNA(INDEX(Data!$D$1:$D$865,MATCH(1,("2+"&amp;$A14=Data!$A$1:$A$865)*(1237=Data!$B$1:$B$865),0)),"")</f>
        <v/>
      </c>
      <c r="F14" t="str" cm="1">
        <f t="array" ref="F14">_xlfn.IFNA(INDEX(Data!$D$1:$D$865,MATCH(1,("1+"&amp;$A14=Data!$A$1:$A$865)*(905=Data!$B$1:$B$865),0)),"")</f>
        <v/>
      </c>
      <c r="G14" t="str" cm="1">
        <f t="array" ref="G14">_xlfn.IFNA(INDEX(Data!$D$1:$D$865,MATCH(1,("1+"&amp;$A14=Data!$A$1:$A$865)*(906=Data!$B$1:$B$865),0)),"")</f>
        <v/>
      </c>
      <c r="H14" t="str" cm="1">
        <f t="array" ref="H14">_xlfn.IFNA(INDEX(Data!$D$1:$D$865,MATCH(1,("2+"&amp;$A14=Data!$A$1:$A$865)*(905=Data!$B$1:$B$865),0)),"")</f>
        <v/>
      </c>
      <c r="I14" t="str" cm="1">
        <f t="array" ref="I14">_xlfn.IFNA(INDEX(Data!$D$1:$D$865,MATCH(1,("2+"&amp;$A14=Data!$A$1:$A$865)*(906=Data!$B$1:$B$865),0)),"")</f>
        <v/>
      </c>
      <c r="J14" t="str">
        <f t="shared" si="0"/>
        <v/>
      </c>
      <c r="K14" t="str">
        <f t="shared" si="1"/>
        <v/>
      </c>
      <c r="L14" s="3" t="str">
        <f>_xlfn.IFNA(VLOOKUP($A14,'Cr4+'!$Y:$AB,2,FALSE),"")</f>
        <v>T</v>
      </c>
      <c r="M14" s="3">
        <f>_xlfn.IFNA((VLOOKUP($A14,'Cr4+'!$Y:$AB,3,FALSE)),"")</f>
        <v>105</v>
      </c>
      <c r="N14" s="3">
        <f>_xlfn.IFNA(VLOOKUP($A14,'Cr4+'!$Y:$AB,4,FALSE),"")</f>
        <v>0</v>
      </c>
    </row>
    <row r="15" spans="1:14" x14ac:dyDescent="0.25">
      <c r="A15" t="str">
        <v>A26-321</v>
      </c>
      <c r="B15" t="str" cm="1">
        <f t="array" ref="B15">_xlfn.IFNA(INDEX(Data!$D$1:$D$865,MATCH(1,("1+"&amp;$A15=Data!$A$1:$A$865)*(1236=Data!$B$1:$B$865),0)),"")</f>
        <v/>
      </c>
      <c r="C15" t="str" cm="1">
        <f t="array" ref="C15">_xlfn.IFNA(INDEX(Data!$D$1:$D$865,MATCH(1,("1+"&amp;$A15=Data!$A$1:$A$865)*(1237=Data!$B$1:$B$865),0)),"")</f>
        <v/>
      </c>
      <c r="D15" t="str" cm="1">
        <f t="array" ref="D15">_xlfn.IFNA(INDEX(Data!$D$1:$D$865,MATCH(1,("2+"&amp;$A15=Data!$A$1:$A$865)*(1236=Data!$B$1:$B$865),0)),"")</f>
        <v/>
      </c>
      <c r="E15" t="str" cm="1">
        <f t="array" ref="E15">_xlfn.IFNA(INDEX(Data!$D$1:$D$865,MATCH(1,("2+"&amp;$A15=Data!$A$1:$A$865)*(1237=Data!$B$1:$B$865),0)),"")</f>
        <v/>
      </c>
      <c r="F15" t="str" cm="1">
        <f t="array" ref="F15">_xlfn.IFNA(INDEX(Data!$D$1:$D$865,MATCH(1,("1+"&amp;$A15=Data!$A$1:$A$865)*(905=Data!$B$1:$B$865),0)),"")</f>
        <v/>
      </c>
      <c r="G15" t="str" cm="1">
        <f t="array" ref="G15">_xlfn.IFNA(INDEX(Data!$D$1:$D$865,MATCH(1,("1+"&amp;$A15=Data!$A$1:$A$865)*(906=Data!$B$1:$B$865),0)),"")</f>
        <v/>
      </c>
      <c r="H15" t="str" cm="1">
        <f t="array" ref="H15">_xlfn.IFNA(INDEX(Data!$D$1:$D$865,MATCH(1,("2+"&amp;$A15=Data!$A$1:$A$865)*(905=Data!$B$1:$B$865),0)),"")</f>
        <v/>
      </c>
      <c r="I15" t="str" cm="1">
        <f t="array" ref="I15">_xlfn.IFNA(INDEX(Data!$D$1:$D$865,MATCH(1,("2+"&amp;$A15=Data!$A$1:$A$865)*(906=Data!$B$1:$B$865),0)),"")</f>
        <v/>
      </c>
      <c r="J15" t="str">
        <f t="shared" si="0"/>
        <v/>
      </c>
      <c r="K15" t="str">
        <f t="shared" si="1"/>
        <v/>
      </c>
      <c r="L15" s="3" t="str">
        <f>_xlfn.IFNA(VLOOKUP($A15,'Cr4+'!$Y:$AB,2,FALSE),"")</f>
        <v>T1</v>
      </c>
      <c r="M15" s="3">
        <f>_xlfn.IFNA((VLOOKUP($A15,'Cr4+'!$Y:$AB,3,FALSE)),"")</f>
        <v>30</v>
      </c>
      <c r="N15" s="3">
        <f>_xlfn.IFNA(VLOOKUP($A15,'Cr4+'!$Y:$AB,4,FALSE),"")</f>
        <v>0</v>
      </c>
    </row>
    <row r="16" spans="1:14" x14ac:dyDescent="0.25">
      <c r="A16" t="str">
        <v>A26-346</v>
      </c>
      <c r="B16" t="str" cm="1">
        <f t="array" ref="B16">_xlfn.IFNA(INDEX(Data!$D$1:$D$865,MATCH(1,("1+"&amp;$A16=Data!$A$1:$A$865)*(1236=Data!$B$1:$B$865),0)),"")</f>
        <v/>
      </c>
      <c r="C16" t="str" cm="1">
        <f t="array" ref="C16">_xlfn.IFNA(INDEX(Data!$D$1:$D$865,MATCH(1,("1+"&amp;$A16=Data!$A$1:$A$865)*(1237=Data!$B$1:$B$865),0)),"")</f>
        <v/>
      </c>
      <c r="D16" t="str" cm="1">
        <f t="array" ref="D16">_xlfn.IFNA(INDEX(Data!$D$1:$D$865,MATCH(1,("2+"&amp;$A16=Data!$A$1:$A$865)*(1236=Data!$B$1:$B$865),0)),"")</f>
        <v/>
      </c>
      <c r="E16" t="str" cm="1">
        <f t="array" ref="E16">_xlfn.IFNA(INDEX(Data!$D$1:$D$865,MATCH(1,("2+"&amp;$A16=Data!$A$1:$A$865)*(1237=Data!$B$1:$B$865),0)),"")</f>
        <v/>
      </c>
      <c r="F16" t="str" cm="1">
        <f t="array" ref="F16">_xlfn.IFNA(INDEX(Data!$D$1:$D$865,MATCH(1,("1+"&amp;$A16=Data!$A$1:$A$865)*(905=Data!$B$1:$B$865),0)),"")</f>
        <v/>
      </c>
      <c r="G16" t="str" cm="1">
        <f t="array" ref="G16">_xlfn.IFNA(INDEX(Data!$D$1:$D$865,MATCH(1,("1+"&amp;$A16=Data!$A$1:$A$865)*(906=Data!$B$1:$B$865),0)),"")</f>
        <v/>
      </c>
      <c r="H16" t="str" cm="1">
        <f t="array" ref="H16">_xlfn.IFNA(INDEX(Data!$D$1:$D$865,MATCH(1,("2+"&amp;$A16=Data!$A$1:$A$865)*(905=Data!$B$1:$B$865),0)),"")</f>
        <v/>
      </c>
      <c r="I16" t="str" cm="1">
        <f t="array" ref="I16">_xlfn.IFNA(INDEX(Data!$D$1:$D$865,MATCH(1,("2+"&amp;$A16=Data!$A$1:$A$865)*(906=Data!$B$1:$B$865),0)),"")</f>
        <v/>
      </c>
      <c r="J16" t="str">
        <f t="shared" si="0"/>
        <v/>
      </c>
      <c r="K16" t="str">
        <f t="shared" si="1"/>
        <v/>
      </c>
      <c r="L16" s="3" t="str">
        <f>_xlfn.IFNA(VLOOKUP($A16,'Cr4+'!$Y:$AB,2,FALSE),"")</f>
        <v>T11</v>
      </c>
      <c r="M16" s="3">
        <f>_xlfn.IFNA((VLOOKUP($A16,'Cr4+'!$Y:$AB,3,FALSE)),"")</f>
        <v>15</v>
      </c>
      <c r="N16" s="3">
        <f>_xlfn.IFNA(VLOOKUP($A16,'Cr4+'!$Y:$AB,4,FALSE),"")</f>
        <v>0</v>
      </c>
    </row>
    <row r="17" spans="1:14" x14ac:dyDescent="0.25">
      <c r="A17" t="str">
        <v>A26-347</v>
      </c>
      <c r="B17" t="str" cm="1">
        <f t="array" ref="B17">_xlfn.IFNA(INDEX(Data!$D$1:$D$865,MATCH(1,("1+"&amp;$A17=Data!$A$1:$A$865)*(1236=Data!$B$1:$B$865),0)),"")</f>
        <v/>
      </c>
      <c r="C17" t="str" cm="1">
        <f t="array" ref="C17">_xlfn.IFNA(INDEX(Data!$D$1:$D$865,MATCH(1,("1+"&amp;$A17=Data!$A$1:$A$865)*(1237=Data!$B$1:$B$865),0)),"")</f>
        <v/>
      </c>
      <c r="D17" t="str" cm="1">
        <f t="array" ref="D17">_xlfn.IFNA(INDEX(Data!$D$1:$D$865,MATCH(1,("2+"&amp;$A17=Data!$A$1:$A$865)*(1236=Data!$B$1:$B$865),0)),"")</f>
        <v/>
      </c>
      <c r="E17" t="str" cm="1">
        <f t="array" ref="E17">_xlfn.IFNA(INDEX(Data!$D$1:$D$865,MATCH(1,("2+"&amp;$A17=Data!$A$1:$A$865)*(1237=Data!$B$1:$B$865),0)),"")</f>
        <v/>
      </c>
      <c r="F17" t="str" cm="1">
        <f t="array" ref="F17">_xlfn.IFNA(INDEX(Data!$D$1:$D$865,MATCH(1,("1+"&amp;$A17=Data!$A$1:$A$865)*(905=Data!$B$1:$B$865),0)),"")</f>
        <v/>
      </c>
      <c r="G17" t="str" cm="1">
        <f t="array" ref="G17">_xlfn.IFNA(INDEX(Data!$D$1:$D$865,MATCH(1,("1+"&amp;$A17=Data!$A$1:$A$865)*(906=Data!$B$1:$B$865),0)),"")</f>
        <v/>
      </c>
      <c r="H17" t="str" cm="1">
        <f t="array" ref="H17">_xlfn.IFNA(INDEX(Data!$D$1:$D$865,MATCH(1,("2+"&amp;$A17=Data!$A$1:$A$865)*(905=Data!$B$1:$B$865),0)),"")</f>
        <v/>
      </c>
      <c r="I17" t="str" cm="1">
        <f t="array" ref="I17">_xlfn.IFNA(INDEX(Data!$D$1:$D$865,MATCH(1,("2+"&amp;$A17=Data!$A$1:$A$865)*(906=Data!$B$1:$B$865),0)),"")</f>
        <v/>
      </c>
      <c r="J17" t="str">
        <f t="shared" si="0"/>
        <v/>
      </c>
      <c r="K17" t="str">
        <f t="shared" si="1"/>
        <v/>
      </c>
      <c r="L17" s="3" t="str">
        <f>_xlfn.IFNA(VLOOKUP($A17,'Cr4+'!$Y:$AB,2,FALSE),"")</f>
        <v>T2121</v>
      </c>
      <c r="M17" s="3">
        <f>_xlfn.IFNA((VLOOKUP($A17,'Cr4+'!$Y:$AB,3,FALSE)),"")</f>
        <v>5</v>
      </c>
      <c r="N17" s="3">
        <f>_xlfn.IFNA(VLOOKUP($A17,'Cr4+'!$Y:$AB,4,FALSE),"")</f>
        <v>45</v>
      </c>
    </row>
    <row r="18" spans="1:14" x14ac:dyDescent="0.25">
      <c r="A18" t="str">
        <v>A26-351</v>
      </c>
      <c r="B18" t="str" cm="1">
        <f t="array" ref="B18">_xlfn.IFNA(INDEX(Data!$D$1:$D$865,MATCH(1,("1+"&amp;$A18=Data!$A$1:$A$865)*(1236=Data!$B$1:$B$865),0)),"")</f>
        <v/>
      </c>
      <c r="C18" t="str" cm="1">
        <f t="array" ref="C18">_xlfn.IFNA(INDEX(Data!$D$1:$D$865,MATCH(1,("1+"&amp;$A18=Data!$A$1:$A$865)*(1237=Data!$B$1:$B$865),0)),"")</f>
        <v/>
      </c>
      <c r="D18" t="str" cm="1">
        <f t="array" ref="D18">_xlfn.IFNA(INDEX(Data!$D$1:$D$865,MATCH(1,("2+"&amp;$A18=Data!$A$1:$A$865)*(1236=Data!$B$1:$B$865),0)),"")</f>
        <v/>
      </c>
      <c r="E18" t="str" cm="1">
        <f t="array" ref="E18">_xlfn.IFNA(INDEX(Data!$D$1:$D$865,MATCH(1,("2+"&amp;$A18=Data!$A$1:$A$865)*(1237=Data!$B$1:$B$865),0)),"")</f>
        <v/>
      </c>
      <c r="F18" t="str" cm="1">
        <f t="array" ref="F18">_xlfn.IFNA(INDEX(Data!$D$1:$D$865,MATCH(1,("1+"&amp;$A18=Data!$A$1:$A$865)*(905=Data!$B$1:$B$865),0)),"")</f>
        <v/>
      </c>
      <c r="G18" t="str" cm="1">
        <f t="array" ref="G18">_xlfn.IFNA(INDEX(Data!$D$1:$D$865,MATCH(1,("1+"&amp;$A18=Data!$A$1:$A$865)*(906=Data!$B$1:$B$865),0)),"")</f>
        <v/>
      </c>
      <c r="H18" t="str" cm="1">
        <f t="array" ref="H18">_xlfn.IFNA(INDEX(Data!$D$1:$D$865,MATCH(1,("2+"&amp;$A18=Data!$A$1:$A$865)*(905=Data!$B$1:$B$865),0)),"")</f>
        <v/>
      </c>
      <c r="I18" t="str" cm="1">
        <f t="array" ref="I18">_xlfn.IFNA(INDEX(Data!$D$1:$D$865,MATCH(1,("2+"&amp;$A18=Data!$A$1:$A$865)*(906=Data!$B$1:$B$865),0)),"")</f>
        <v/>
      </c>
      <c r="J18" t="str">
        <f t="shared" si="0"/>
        <v/>
      </c>
      <c r="K18" t="str">
        <f t="shared" si="1"/>
        <v/>
      </c>
      <c r="L18" s="3" t="str">
        <f>_xlfn.IFNA(VLOOKUP($A18,'Cr4+'!$Y:$AB,2,FALSE),"")</f>
        <v>T</v>
      </c>
      <c r="M18" s="3">
        <f>_xlfn.IFNA((VLOOKUP($A18,'Cr4+'!$Y:$AB,3,FALSE)),"")</f>
        <v>116</v>
      </c>
      <c r="N18" s="3">
        <f>_xlfn.IFNA(VLOOKUP($A18,'Cr4+'!$Y:$AB,4,FALSE),"")</f>
        <v>0</v>
      </c>
    </row>
    <row r="19" spans="1:14" x14ac:dyDescent="0.25">
      <c r="A19" t="str">
        <v>A26-354</v>
      </c>
      <c r="B19" t="str" cm="1">
        <f t="array" ref="B19">_xlfn.IFNA(INDEX(Data!$D$1:$D$865,MATCH(1,("1+"&amp;$A19=Data!$A$1:$A$865)*(1236=Data!$B$1:$B$865),0)),"")</f>
        <v/>
      </c>
      <c r="C19" t="str" cm="1">
        <f t="array" ref="C19">_xlfn.IFNA(INDEX(Data!$D$1:$D$865,MATCH(1,("1+"&amp;$A19=Data!$A$1:$A$865)*(1237=Data!$B$1:$B$865),0)),"")</f>
        <v/>
      </c>
      <c r="D19" t="str" cm="1">
        <f t="array" ref="D19">_xlfn.IFNA(INDEX(Data!$D$1:$D$865,MATCH(1,("2+"&amp;$A19=Data!$A$1:$A$865)*(1236=Data!$B$1:$B$865),0)),"")</f>
        <v/>
      </c>
      <c r="E19" t="str" cm="1">
        <f t="array" ref="E19">_xlfn.IFNA(INDEX(Data!$D$1:$D$865,MATCH(1,("2+"&amp;$A19=Data!$A$1:$A$865)*(1237=Data!$B$1:$B$865),0)),"")</f>
        <v/>
      </c>
      <c r="F19" t="str" cm="1">
        <f t="array" ref="F19">_xlfn.IFNA(INDEX(Data!$D$1:$D$865,MATCH(1,("1+"&amp;$A19=Data!$A$1:$A$865)*(905=Data!$B$1:$B$865),0)),"")</f>
        <v/>
      </c>
      <c r="G19" t="str" cm="1">
        <f t="array" ref="G19">_xlfn.IFNA(INDEX(Data!$D$1:$D$865,MATCH(1,("1+"&amp;$A19=Data!$A$1:$A$865)*(906=Data!$B$1:$B$865),0)),"")</f>
        <v/>
      </c>
      <c r="H19" t="str" cm="1">
        <f t="array" ref="H19">_xlfn.IFNA(INDEX(Data!$D$1:$D$865,MATCH(1,("2+"&amp;$A19=Data!$A$1:$A$865)*(905=Data!$B$1:$B$865),0)),"")</f>
        <v/>
      </c>
      <c r="I19" t="str" cm="1">
        <f t="array" ref="I19">_xlfn.IFNA(INDEX(Data!$D$1:$D$865,MATCH(1,("2+"&amp;$A19=Data!$A$1:$A$865)*(906=Data!$B$1:$B$865),0)),"")</f>
        <v/>
      </c>
      <c r="J19" t="str">
        <f t="shared" si="0"/>
        <v/>
      </c>
      <c r="K19" t="str">
        <f t="shared" si="1"/>
        <v/>
      </c>
      <c r="L19" s="3" t="str">
        <f>_xlfn.IFNA(VLOOKUP($A19,'Cr4+'!$Y:$AB,2,FALSE),"")</f>
        <v>T</v>
      </c>
      <c r="M19" s="3">
        <f>_xlfn.IFNA((VLOOKUP($A19,'Cr4+'!$Y:$AB,3,FALSE)),"")</f>
        <v>113</v>
      </c>
      <c r="N19" s="3">
        <f>_xlfn.IFNA(VLOOKUP($A19,'Cr4+'!$Y:$AB,4,FALSE),"")</f>
        <v>0</v>
      </c>
    </row>
    <row r="20" spans="1:14" x14ac:dyDescent="0.25">
      <c r="A20" t="str">
        <v>A26-363</v>
      </c>
      <c r="B20" t="str" cm="1">
        <f t="array" ref="B20">_xlfn.IFNA(INDEX(Data!$D$1:$D$865,MATCH(1,("1+"&amp;$A20=Data!$A$1:$A$865)*(1236=Data!$B$1:$B$865),0)),"")</f>
        <v/>
      </c>
      <c r="C20" t="str" cm="1">
        <f t="array" ref="C20">_xlfn.IFNA(INDEX(Data!$D$1:$D$865,MATCH(1,("1+"&amp;$A20=Data!$A$1:$A$865)*(1237=Data!$B$1:$B$865),0)),"")</f>
        <v/>
      </c>
      <c r="D20" t="str" cm="1">
        <f t="array" ref="D20">_xlfn.IFNA(INDEX(Data!$D$1:$D$865,MATCH(1,("2+"&amp;$A20=Data!$A$1:$A$865)*(1236=Data!$B$1:$B$865),0)),"")</f>
        <v/>
      </c>
      <c r="E20" t="str" cm="1">
        <f t="array" ref="E20">_xlfn.IFNA(INDEX(Data!$D$1:$D$865,MATCH(1,("2+"&amp;$A20=Data!$A$1:$A$865)*(1237=Data!$B$1:$B$865),0)),"")</f>
        <v/>
      </c>
      <c r="F20" t="str" cm="1">
        <f t="array" ref="F20">_xlfn.IFNA(INDEX(Data!$D$1:$D$865,MATCH(1,("1+"&amp;$A20=Data!$A$1:$A$865)*(905=Data!$B$1:$B$865),0)),"")</f>
        <v/>
      </c>
      <c r="G20" t="str" cm="1">
        <f t="array" ref="G20">_xlfn.IFNA(INDEX(Data!$D$1:$D$865,MATCH(1,("1+"&amp;$A20=Data!$A$1:$A$865)*(906=Data!$B$1:$B$865),0)),"")</f>
        <v/>
      </c>
      <c r="H20" t="str" cm="1">
        <f t="array" ref="H20">_xlfn.IFNA(INDEX(Data!$D$1:$D$865,MATCH(1,("2+"&amp;$A20=Data!$A$1:$A$865)*(905=Data!$B$1:$B$865),0)),"")</f>
        <v/>
      </c>
      <c r="I20" t="str" cm="1">
        <f t="array" ref="I20">_xlfn.IFNA(INDEX(Data!$D$1:$D$865,MATCH(1,("2+"&amp;$A20=Data!$A$1:$A$865)*(906=Data!$B$1:$B$865),0)),"")</f>
        <v/>
      </c>
      <c r="J20" t="str">
        <f t="shared" si="0"/>
        <v/>
      </c>
      <c r="K20" t="str">
        <f t="shared" si="1"/>
        <v/>
      </c>
      <c r="L20" s="3" t="str">
        <f>_xlfn.IFNA(VLOOKUP($A20,'Cr4+'!$Y:$AB,2,FALSE),"")</f>
        <v>T111</v>
      </c>
      <c r="M20" s="3">
        <f>_xlfn.IFNA((VLOOKUP($A20,'Cr4+'!$Y:$AB,3,FALSE)),"")</f>
        <v>61</v>
      </c>
      <c r="N20" s="3">
        <f>_xlfn.IFNA(VLOOKUP($A20,'Cr4+'!$Y:$AB,4,FALSE),"")</f>
        <v>0</v>
      </c>
    </row>
    <row r="21" spans="1:14" x14ac:dyDescent="0.25">
      <c r="A21" t="str">
        <v>A26-368</v>
      </c>
      <c r="B21" t="str" cm="1">
        <f t="array" ref="B21">_xlfn.IFNA(INDEX(Data!$D$1:$D$865,MATCH(1,("1+"&amp;$A21=Data!$A$1:$A$865)*(1236=Data!$B$1:$B$865),0)),"")</f>
        <v/>
      </c>
      <c r="C21" t="str" cm="1">
        <f t="array" ref="C21">_xlfn.IFNA(INDEX(Data!$D$1:$D$865,MATCH(1,("1+"&amp;$A21=Data!$A$1:$A$865)*(1237=Data!$B$1:$B$865),0)),"")</f>
        <v/>
      </c>
      <c r="D21" t="str" cm="1">
        <f t="array" ref="D21">_xlfn.IFNA(INDEX(Data!$D$1:$D$865,MATCH(1,("2+"&amp;$A21=Data!$A$1:$A$865)*(1236=Data!$B$1:$B$865),0)),"")</f>
        <v/>
      </c>
      <c r="E21" t="str" cm="1">
        <f t="array" ref="E21">_xlfn.IFNA(INDEX(Data!$D$1:$D$865,MATCH(1,("2+"&amp;$A21=Data!$A$1:$A$865)*(1237=Data!$B$1:$B$865),0)),"")</f>
        <v/>
      </c>
      <c r="F21" t="str" cm="1">
        <f t="array" ref="F21">_xlfn.IFNA(INDEX(Data!$D$1:$D$865,MATCH(1,("1+"&amp;$A21=Data!$A$1:$A$865)*(905=Data!$B$1:$B$865),0)),"")</f>
        <v/>
      </c>
      <c r="G21" t="str" cm="1">
        <f t="array" ref="G21">_xlfn.IFNA(INDEX(Data!$D$1:$D$865,MATCH(1,("1+"&amp;$A21=Data!$A$1:$A$865)*(906=Data!$B$1:$B$865),0)),"")</f>
        <v/>
      </c>
      <c r="H21" t="str" cm="1">
        <f t="array" ref="H21">_xlfn.IFNA(INDEX(Data!$D$1:$D$865,MATCH(1,("2+"&amp;$A21=Data!$A$1:$A$865)*(905=Data!$B$1:$B$865),0)),"")</f>
        <v/>
      </c>
      <c r="I21" t="str" cm="1">
        <f t="array" ref="I21">_xlfn.IFNA(INDEX(Data!$D$1:$D$865,MATCH(1,("2+"&amp;$A21=Data!$A$1:$A$865)*(906=Data!$B$1:$B$865),0)),"")</f>
        <v/>
      </c>
      <c r="J21" t="str">
        <f t="shared" si="0"/>
        <v/>
      </c>
      <c r="K21" t="str">
        <f t="shared" si="1"/>
        <v/>
      </c>
      <c r="L21" s="3" t="str">
        <f>_xlfn.IFNA(VLOOKUP($A21,'Cr4+'!$Y:$AB,2,FALSE),"")</f>
        <v>T21</v>
      </c>
      <c r="M21" s="3">
        <f>_xlfn.IFNA((VLOOKUP($A21,'Cr4+'!$Y:$AB,3,FALSE)),"")</f>
        <v>52</v>
      </c>
      <c r="N21" s="3">
        <f>_xlfn.IFNA(VLOOKUP($A21,'Cr4+'!$Y:$AB,4,FALSE),"")</f>
        <v>12</v>
      </c>
    </row>
    <row r="22" spans="1:14" x14ac:dyDescent="0.25">
      <c r="A22" t="str">
        <v>A26-370</v>
      </c>
      <c r="B22" t="str" cm="1">
        <f t="array" ref="B22">_xlfn.IFNA(INDEX(Data!$D$1:$D$865,MATCH(1,("1+"&amp;$A22=Data!$A$1:$A$865)*(1236=Data!$B$1:$B$865),0)),"")</f>
        <v/>
      </c>
      <c r="C22" t="str" cm="1">
        <f t="array" ref="C22">_xlfn.IFNA(INDEX(Data!$D$1:$D$865,MATCH(1,("1+"&amp;$A22=Data!$A$1:$A$865)*(1237=Data!$B$1:$B$865),0)),"")</f>
        <v/>
      </c>
      <c r="D22" t="str" cm="1">
        <f t="array" ref="D22">_xlfn.IFNA(INDEX(Data!$D$1:$D$865,MATCH(1,("2+"&amp;$A22=Data!$A$1:$A$865)*(1236=Data!$B$1:$B$865),0)),"")</f>
        <v/>
      </c>
      <c r="E22" t="str" cm="1">
        <f t="array" ref="E22">_xlfn.IFNA(INDEX(Data!$D$1:$D$865,MATCH(1,("2+"&amp;$A22=Data!$A$1:$A$865)*(1237=Data!$B$1:$B$865),0)),"")</f>
        <v/>
      </c>
      <c r="F22" t="str" cm="1">
        <f t="array" ref="F22">_xlfn.IFNA(INDEX(Data!$D$1:$D$865,MATCH(1,("1+"&amp;$A22=Data!$A$1:$A$865)*(905=Data!$B$1:$B$865),0)),"")</f>
        <v/>
      </c>
      <c r="G22" t="str" cm="1">
        <f t="array" ref="G22">_xlfn.IFNA(INDEX(Data!$D$1:$D$865,MATCH(1,("1+"&amp;$A22=Data!$A$1:$A$865)*(906=Data!$B$1:$B$865),0)),"")</f>
        <v/>
      </c>
      <c r="H22" t="str" cm="1">
        <f t="array" ref="H22">_xlfn.IFNA(INDEX(Data!$D$1:$D$865,MATCH(1,("2+"&amp;$A22=Data!$A$1:$A$865)*(905=Data!$B$1:$B$865),0)),"")</f>
        <v/>
      </c>
      <c r="I22" t="str" cm="1">
        <f t="array" ref="I22">_xlfn.IFNA(INDEX(Data!$D$1:$D$865,MATCH(1,("2+"&amp;$A22=Data!$A$1:$A$865)*(906=Data!$B$1:$B$865),0)),"")</f>
        <v/>
      </c>
      <c r="J22" t="str">
        <f t="shared" si="0"/>
        <v/>
      </c>
      <c r="K22" t="str">
        <f t="shared" si="1"/>
        <v/>
      </c>
      <c r="L22" s="3" t="str">
        <f>_xlfn.IFNA(VLOOKUP($A22,'Cr4+'!$Y:$AB,2,FALSE),"")</f>
        <v>T</v>
      </c>
      <c r="M22" s="3">
        <f>_xlfn.IFNA((VLOOKUP($A22,'Cr4+'!$Y:$AB,3,FALSE)),"")</f>
        <v>114</v>
      </c>
      <c r="N22" s="3">
        <f>_xlfn.IFNA(VLOOKUP($A22,'Cr4+'!$Y:$AB,4,FALSE),"")</f>
        <v>0</v>
      </c>
    </row>
    <row r="23" spans="1:14" x14ac:dyDescent="0.25">
      <c r="A23" t="str">
        <v>A26-387</v>
      </c>
      <c r="B23" t="str" cm="1">
        <f t="array" ref="B23">_xlfn.IFNA(INDEX(Data!$D$1:$D$865,MATCH(1,("1+"&amp;$A23=Data!$A$1:$A$865)*(1236=Data!$B$1:$B$865),0)),"")</f>
        <v/>
      </c>
      <c r="C23" t="str" cm="1">
        <f t="array" ref="C23">_xlfn.IFNA(INDEX(Data!$D$1:$D$865,MATCH(1,("1+"&amp;$A23=Data!$A$1:$A$865)*(1237=Data!$B$1:$B$865),0)),"")</f>
        <v/>
      </c>
      <c r="D23" t="str" cm="1">
        <f t="array" ref="D23">_xlfn.IFNA(INDEX(Data!$D$1:$D$865,MATCH(1,("2+"&amp;$A23=Data!$A$1:$A$865)*(1236=Data!$B$1:$B$865),0)),"")</f>
        <v/>
      </c>
      <c r="E23" t="str" cm="1">
        <f t="array" ref="E23">_xlfn.IFNA(INDEX(Data!$D$1:$D$865,MATCH(1,("2+"&amp;$A23=Data!$A$1:$A$865)*(1237=Data!$B$1:$B$865),0)),"")</f>
        <v/>
      </c>
      <c r="F23" t="str" cm="1">
        <f t="array" ref="F23">_xlfn.IFNA(INDEX(Data!$D$1:$D$865,MATCH(1,("1+"&amp;$A23=Data!$A$1:$A$865)*(905=Data!$B$1:$B$865),0)),"")</f>
        <v/>
      </c>
      <c r="G23" t="str" cm="1">
        <f t="array" ref="G23">_xlfn.IFNA(INDEX(Data!$D$1:$D$865,MATCH(1,("1+"&amp;$A23=Data!$A$1:$A$865)*(906=Data!$B$1:$B$865),0)),"")</f>
        <v/>
      </c>
      <c r="H23" t="str" cm="1">
        <f t="array" ref="H23">_xlfn.IFNA(INDEX(Data!$D$1:$D$865,MATCH(1,("2+"&amp;$A23=Data!$A$1:$A$865)*(905=Data!$B$1:$B$865),0)),"")</f>
        <v/>
      </c>
      <c r="I23" t="str" cm="1">
        <f t="array" ref="I23">_xlfn.IFNA(INDEX(Data!$D$1:$D$865,MATCH(1,("2+"&amp;$A23=Data!$A$1:$A$865)*(906=Data!$B$1:$B$865),0)),"")</f>
        <v/>
      </c>
      <c r="J23" t="str">
        <f t="shared" si="0"/>
        <v/>
      </c>
      <c r="K23" t="str">
        <f t="shared" si="1"/>
        <v/>
      </c>
      <c r="L23" s="3" t="str">
        <f>_xlfn.IFNA(VLOOKUP($A23,'Cr4+'!$Y:$AB,2,FALSE),"")</f>
        <v>T1</v>
      </c>
      <c r="M23" s="3">
        <f>_xlfn.IFNA((VLOOKUP($A23,'Cr4+'!$Y:$AB,3,FALSE)),"")</f>
        <v>88</v>
      </c>
      <c r="N23" s="3">
        <f>_xlfn.IFNA(VLOOKUP($A23,'Cr4+'!$Y:$AB,4,FALSE),"")</f>
        <v>0</v>
      </c>
    </row>
    <row r="24" spans="1:14" x14ac:dyDescent="0.25">
      <c r="A24" t="str">
        <v>A26-396</v>
      </c>
      <c r="B24" t="str" cm="1">
        <f t="array" ref="B24">_xlfn.IFNA(INDEX(Data!$D$1:$D$865,MATCH(1,("1+"&amp;$A24=Data!$A$1:$A$865)*(1236=Data!$B$1:$B$865),0)),"")</f>
        <v/>
      </c>
      <c r="C24" t="str" cm="1">
        <f t="array" ref="C24">_xlfn.IFNA(INDEX(Data!$D$1:$D$865,MATCH(1,("1+"&amp;$A24=Data!$A$1:$A$865)*(1237=Data!$B$1:$B$865),0)),"")</f>
        <v/>
      </c>
      <c r="D24" t="str" cm="1">
        <f t="array" ref="D24">_xlfn.IFNA(INDEX(Data!$D$1:$D$865,MATCH(1,("2+"&amp;$A24=Data!$A$1:$A$865)*(1236=Data!$B$1:$B$865),0)),"")</f>
        <v/>
      </c>
      <c r="E24" t="str" cm="1">
        <f t="array" ref="E24">_xlfn.IFNA(INDEX(Data!$D$1:$D$865,MATCH(1,("2+"&amp;$A24=Data!$A$1:$A$865)*(1237=Data!$B$1:$B$865),0)),"")</f>
        <v/>
      </c>
      <c r="F24" t="str" cm="1">
        <f t="array" ref="F24">_xlfn.IFNA(INDEX(Data!$D$1:$D$865,MATCH(1,("1+"&amp;$A24=Data!$A$1:$A$865)*(905=Data!$B$1:$B$865),0)),"")</f>
        <v/>
      </c>
      <c r="G24" t="str" cm="1">
        <f t="array" ref="G24">_xlfn.IFNA(INDEX(Data!$D$1:$D$865,MATCH(1,("1+"&amp;$A24=Data!$A$1:$A$865)*(906=Data!$B$1:$B$865),0)),"")</f>
        <v/>
      </c>
      <c r="H24" t="str" cm="1">
        <f t="array" ref="H24">_xlfn.IFNA(INDEX(Data!$D$1:$D$865,MATCH(1,("2+"&amp;$A24=Data!$A$1:$A$865)*(905=Data!$B$1:$B$865),0)),"")</f>
        <v/>
      </c>
      <c r="I24" t="str" cm="1">
        <f t="array" ref="I24">_xlfn.IFNA(INDEX(Data!$D$1:$D$865,MATCH(1,("2+"&amp;$A24=Data!$A$1:$A$865)*(906=Data!$B$1:$B$865),0)),"")</f>
        <v/>
      </c>
      <c r="J24" t="str">
        <f t="shared" si="0"/>
        <v/>
      </c>
      <c r="K24" t="str">
        <f t="shared" si="1"/>
        <v/>
      </c>
      <c r="L24" s="3" t="str">
        <f>_xlfn.IFNA(VLOOKUP($A24,'Cr4+'!$Y:$AB,2,FALSE),"")</f>
        <v>T21</v>
      </c>
      <c r="M24" s="3">
        <f>_xlfn.IFNA((VLOOKUP($A24,'Cr4+'!$Y:$AB,3,FALSE)),"")</f>
        <v>92</v>
      </c>
      <c r="N24" s="3">
        <f>_xlfn.IFNA(VLOOKUP($A24,'Cr4+'!$Y:$AB,4,FALSE),"")</f>
        <v>10</v>
      </c>
    </row>
    <row r="25" spans="1:14" x14ac:dyDescent="0.25">
      <c r="A25" t="str">
        <v>A26-406</v>
      </c>
      <c r="B25" cm="1">
        <f t="array" ref="B25">_xlfn.IFNA(INDEX(Data!$D$1:$D$865,MATCH(1,("1+"&amp;$A25=Data!$A$1:$A$865)*(1236=Data!$B$1:$B$865),0)),"")</f>
        <v>5.03</v>
      </c>
      <c r="C25" cm="1">
        <f t="array" ref="C25">_xlfn.IFNA(INDEX(Data!$D$1:$D$865,MATCH(1,("1+"&amp;$A25=Data!$A$1:$A$865)*(1237=Data!$B$1:$B$865),0)),"")</f>
        <v>4.92</v>
      </c>
      <c r="D25" cm="1">
        <f t="array" ref="D25">_xlfn.IFNA(INDEX(Data!$D$1:$D$865,MATCH(1,("2+"&amp;$A25=Data!$A$1:$A$865)*(1236=Data!$B$1:$B$865),0)),"")</f>
        <v>4.3899999999999997</v>
      </c>
      <c r="E25" cm="1">
        <f t="array" ref="E25">_xlfn.IFNA(INDEX(Data!$D$1:$D$865,MATCH(1,("2+"&amp;$A25=Data!$A$1:$A$865)*(1237=Data!$B$1:$B$865),0)),"")</f>
        <v>4.88</v>
      </c>
      <c r="F25" cm="1">
        <f t="array" ref="F25">_xlfn.IFNA(INDEX(Data!$D$1:$D$865,MATCH(1,("1+"&amp;$A25=Data!$A$1:$A$865)*(905=Data!$B$1:$B$865),0)),"")</f>
        <v>5.73</v>
      </c>
      <c r="G25" cm="1">
        <f t="array" ref="G25">_xlfn.IFNA(INDEX(Data!$D$1:$D$865,MATCH(1,("1+"&amp;$A25=Data!$A$1:$A$865)*(906=Data!$B$1:$B$865),0)),"")</f>
        <v>5.66</v>
      </c>
      <c r="H25" cm="1">
        <f t="array" ref="H25">_xlfn.IFNA(INDEX(Data!$D$1:$D$865,MATCH(1,("2+"&amp;$A25=Data!$A$1:$A$865)*(905=Data!$B$1:$B$865),0)),"")</f>
        <v>5.52</v>
      </c>
      <c r="I25" cm="1">
        <f t="array" ref="I25">_xlfn.IFNA(INDEX(Data!$D$1:$D$865,MATCH(1,("2+"&amp;$A25=Data!$A$1:$A$865)*(906=Data!$B$1:$B$865),0)),"")</f>
        <v>5.95</v>
      </c>
      <c r="J25">
        <f t="shared" si="0"/>
        <v>5.6950000000000003</v>
      </c>
      <c r="K25">
        <f t="shared" si="1"/>
        <v>5.7349999999999994</v>
      </c>
      <c r="L25" s="3" t="str">
        <f>_xlfn.IFNA(VLOOKUP($A25,'Cr4+'!$Y:$AB,2,FALSE),"")</f>
        <v>T1</v>
      </c>
      <c r="M25" s="3">
        <f>_xlfn.IFNA((VLOOKUP($A25,'Cr4+'!$Y:$AB,3,FALSE)),"")</f>
        <v>91</v>
      </c>
      <c r="N25" s="3">
        <f>_xlfn.IFNA(VLOOKUP($A25,'Cr4+'!$Y:$AB,4,FALSE),"")</f>
        <v>0</v>
      </c>
    </row>
    <row r="26" spans="1:14" x14ac:dyDescent="0.25">
      <c r="A26" t="str">
        <v>A26-409</v>
      </c>
      <c r="B26" cm="1">
        <f t="array" ref="B26">_xlfn.IFNA(INDEX(Data!$D$1:$D$865,MATCH(1,("1+"&amp;$A26=Data!$A$1:$A$865)*(1236=Data!$B$1:$B$865),0)),"")</f>
        <v>3.94</v>
      </c>
      <c r="C26" cm="1">
        <f t="array" ref="C26">_xlfn.IFNA(INDEX(Data!$D$1:$D$865,MATCH(1,("1+"&amp;$A26=Data!$A$1:$A$865)*(1237=Data!$B$1:$B$865),0)),"")</f>
        <v>3.91</v>
      </c>
      <c r="D26" cm="1">
        <f t="array" ref="D26">_xlfn.IFNA(INDEX(Data!$D$1:$D$865,MATCH(1,("2+"&amp;$A26=Data!$A$1:$A$865)*(1236=Data!$B$1:$B$865),0)),"")</f>
        <v>3.06</v>
      </c>
      <c r="E26" cm="1">
        <f t="array" ref="E26">_xlfn.IFNA(INDEX(Data!$D$1:$D$865,MATCH(1,("2+"&amp;$A26=Data!$A$1:$A$865)*(1237=Data!$B$1:$B$865),0)),"")</f>
        <v>3.52</v>
      </c>
      <c r="F26" cm="1">
        <f t="array" ref="F26">_xlfn.IFNA(INDEX(Data!$D$1:$D$865,MATCH(1,("1+"&amp;$A26=Data!$A$1:$A$865)*(905=Data!$B$1:$B$865),0)),"")</f>
        <v>4.57</v>
      </c>
      <c r="G26" cm="1">
        <f t="array" ref="G26">_xlfn.IFNA(INDEX(Data!$D$1:$D$865,MATCH(1,("1+"&amp;$A26=Data!$A$1:$A$865)*(906=Data!$B$1:$B$865),0)),"")</f>
        <v>4.42</v>
      </c>
      <c r="H26" cm="1">
        <f t="array" ref="H26">_xlfn.IFNA(INDEX(Data!$D$1:$D$865,MATCH(1,("2+"&amp;$A26=Data!$A$1:$A$865)*(905=Data!$B$1:$B$865),0)),"")</f>
        <v>4.34</v>
      </c>
      <c r="I26" cm="1">
        <f t="array" ref="I26">_xlfn.IFNA(INDEX(Data!$D$1:$D$865,MATCH(1,("2+"&amp;$A26=Data!$A$1:$A$865)*(906=Data!$B$1:$B$865),0)),"")</f>
        <v>4.74</v>
      </c>
      <c r="J26">
        <f t="shared" si="0"/>
        <v>4.4950000000000001</v>
      </c>
      <c r="K26">
        <f t="shared" si="1"/>
        <v>4.54</v>
      </c>
      <c r="L26" s="3" t="str">
        <f>_xlfn.IFNA(VLOOKUP($A26,'Cr4+'!$Y:$AB,2,FALSE),"")</f>
        <v>T1</v>
      </c>
      <c r="M26" s="3">
        <f>_xlfn.IFNA((VLOOKUP($A26,'Cr4+'!$Y:$AB,3,FALSE)),"")</f>
        <v>77</v>
      </c>
      <c r="N26" s="3">
        <f>_xlfn.IFNA(VLOOKUP($A26,'Cr4+'!$Y:$AB,4,FALSE),"")</f>
        <v>0</v>
      </c>
    </row>
    <row r="27" spans="1:14" x14ac:dyDescent="0.25">
      <c r="A27" t="str">
        <v>A26-423</v>
      </c>
      <c r="B27" cm="1">
        <f t="array" ref="B27">_xlfn.IFNA(INDEX(Data!$D$1:$D$865,MATCH(1,("1+"&amp;$A27=Data!$A$1:$A$865)*(1236=Data!$B$1:$B$865),0)),"")</f>
        <v>0.8</v>
      </c>
      <c r="C27" cm="1">
        <f t="array" ref="C27">_xlfn.IFNA(INDEX(Data!$D$1:$D$865,MATCH(1,("1+"&amp;$A27=Data!$A$1:$A$865)*(1237=Data!$B$1:$B$865),0)),"")</f>
        <v>0.82</v>
      </c>
      <c r="D27" cm="1">
        <f t="array" ref="D27">_xlfn.IFNA(INDEX(Data!$D$1:$D$865,MATCH(1,("2+"&amp;$A27=Data!$A$1:$A$865)*(1236=Data!$B$1:$B$865),0)),"")</f>
        <v>0.66</v>
      </c>
      <c r="E27" cm="1">
        <f t="array" ref="E27">_xlfn.IFNA(INDEX(Data!$D$1:$D$865,MATCH(1,("2+"&amp;$A27=Data!$A$1:$A$865)*(1237=Data!$B$1:$B$865),0)),"")</f>
        <v>0.77</v>
      </c>
      <c r="F27" cm="1">
        <f t="array" ref="F27">_xlfn.IFNA(INDEX(Data!$D$1:$D$865,MATCH(1,("1+"&amp;$A27=Data!$A$1:$A$865)*(905=Data!$B$1:$B$865),0)),"")</f>
        <v>1.05</v>
      </c>
      <c r="G27" cm="1">
        <f t="array" ref="G27">_xlfn.IFNA(INDEX(Data!$D$1:$D$865,MATCH(1,("1+"&amp;$A27=Data!$A$1:$A$865)*(906=Data!$B$1:$B$865),0)),"")</f>
        <v>1.05</v>
      </c>
      <c r="H27" cm="1">
        <f t="array" ref="H27">_xlfn.IFNA(INDEX(Data!$D$1:$D$865,MATCH(1,("2+"&amp;$A27=Data!$A$1:$A$865)*(905=Data!$B$1:$B$865),0)),"")</f>
        <v>1.18</v>
      </c>
      <c r="I27" cm="1">
        <f t="array" ref="I27">_xlfn.IFNA(INDEX(Data!$D$1:$D$865,MATCH(1,("2+"&amp;$A27=Data!$A$1:$A$865)*(906=Data!$B$1:$B$865),0)),"")</f>
        <v>1.1599999999999999</v>
      </c>
      <c r="J27">
        <f t="shared" si="0"/>
        <v>1.05</v>
      </c>
      <c r="K27">
        <f t="shared" si="1"/>
        <v>1.17</v>
      </c>
      <c r="L27" s="3" t="str">
        <f>_xlfn.IFNA(VLOOKUP($A27,'Cr4+'!$Y:$AB,2,FALSE),"")</f>
        <v>T1</v>
      </c>
      <c r="M27" s="3">
        <f>_xlfn.IFNA((VLOOKUP($A27,'Cr4+'!$Y:$AB,3,FALSE)),"")</f>
        <v>56</v>
      </c>
      <c r="N27" s="3">
        <f>_xlfn.IFNA(VLOOKUP($A27,'Cr4+'!$Y:$AB,4,FALSE),"")</f>
        <v>0</v>
      </c>
    </row>
    <row r="28" spans="1:14" x14ac:dyDescent="0.25">
      <c r="A28" t="str">
        <v>A26-425</v>
      </c>
      <c r="B28" cm="1">
        <f t="array" ref="B28">_xlfn.IFNA(INDEX(Data!$D$1:$D$865,MATCH(1,("1+"&amp;$A28=Data!$A$1:$A$865)*(1236=Data!$B$1:$B$865),0)),"")</f>
        <v>0.42</v>
      </c>
      <c r="C28" cm="1">
        <f t="array" ref="C28">_xlfn.IFNA(INDEX(Data!$D$1:$D$865,MATCH(1,("1+"&amp;$A28=Data!$A$1:$A$865)*(1237=Data!$B$1:$B$865),0)),"")</f>
        <v>0.46</v>
      </c>
      <c r="D28" cm="1">
        <f t="array" ref="D28">_xlfn.IFNA(INDEX(Data!$D$1:$D$865,MATCH(1,("2+"&amp;$A28=Data!$A$1:$A$865)*(1236=Data!$B$1:$B$865),0)),"")</f>
        <v>0.38</v>
      </c>
      <c r="E28" cm="1">
        <f t="array" ref="E28">_xlfn.IFNA(INDEX(Data!$D$1:$D$865,MATCH(1,("2+"&amp;$A28=Data!$A$1:$A$865)*(1237=Data!$B$1:$B$865),0)),"")</f>
        <v>0.42</v>
      </c>
      <c r="F28" cm="1">
        <f t="array" ref="F28">_xlfn.IFNA(INDEX(Data!$D$1:$D$865,MATCH(1,("1+"&amp;$A28=Data!$A$1:$A$865)*(905=Data!$B$1:$B$865),0)),"")</f>
        <v>0.7</v>
      </c>
      <c r="G28" cm="1">
        <f t="array" ref="G28">_xlfn.IFNA(INDEX(Data!$D$1:$D$865,MATCH(1,("1+"&amp;$A28=Data!$A$1:$A$865)*(906=Data!$B$1:$B$865),0)),"")</f>
        <v>0.64</v>
      </c>
      <c r="H28" cm="1">
        <f t="array" ref="H28">_xlfn.IFNA(INDEX(Data!$D$1:$D$865,MATCH(1,("2+"&amp;$A28=Data!$A$1:$A$865)*(905=Data!$B$1:$B$865),0)),"")</f>
        <v>0.7</v>
      </c>
      <c r="I28" cm="1">
        <f t="array" ref="I28">_xlfn.IFNA(INDEX(Data!$D$1:$D$865,MATCH(1,("2+"&amp;$A28=Data!$A$1:$A$865)*(906=Data!$B$1:$B$865),0)),"")</f>
        <v>0.7</v>
      </c>
      <c r="J28">
        <f t="shared" si="0"/>
        <v>0.66999999999999993</v>
      </c>
      <c r="K28">
        <f t="shared" si="1"/>
        <v>0.7</v>
      </c>
      <c r="L28" s="3" t="str">
        <f>_xlfn.IFNA(VLOOKUP($A28,'Cr4+'!$Y:$AB,2,FALSE),"")</f>
        <v>T</v>
      </c>
      <c r="M28" s="3">
        <f>_xlfn.IFNA((VLOOKUP($A28,'Cr4+'!$Y:$AB,3,FALSE)),"")</f>
        <v>111</v>
      </c>
      <c r="N28" s="3">
        <f>_xlfn.IFNA(VLOOKUP($A28,'Cr4+'!$Y:$AB,4,FALSE),"")</f>
        <v>0</v>
      </c>
    </row>
    <row r="29" spans="1:14" x14ac:dyDescent="0.25">
      <c r="A29" t="str">
        <v>A26-440</v>
      </c>
      <c r="B29" cm="1">
        <f t="array" ref="B29">_xlfn.IFNA(INDEX(Data!$D$1:$D$865,MATCH(1,("1+"&amp;$A29=Data!$A$1:$A$865)*(1236=Data!$B$1:$B$865),0)),"")</f>
        <v>2.94</v>
      </c>
      <c r="C29" cm="1">
        <f t="array" ref="C29">_xlfn.IFNA(INDEX(Data!$D$1:$D$865,MATCH(1,("1+"&amp;$A29=Data!$A$1:$A$865)*(1237=Data!$B$1:$B$865),0)),"")</f>
        <v>2.99</v>
      </c>
      <c r="D29" cm="1">
        <f t="array" ref="D29">_xlfn.IFNA(INDEX(Data!$D$1:$D$865,MATCH(1,("2+"&amp;$A29=Data!$A$1:$A$865)*(1236=Data!$B$1:$B$865),0)),"")</f>
        <v>2.2200000000000002</v>
      </c>
      <c r="E29" cm="1">
        <f t="array" ref="E29">_xlfn.IFNA(INDEX(Data!$D$1:$D$865,MATCH(1,("2+"&amp;$A29=Data!$A$1:$A$865)*(1237=Data!$B$1:$B$865),0)),"")</f>
        <v>2.77</v>
      </c>
      <c r="F29" cm="1">
        <f t="array" ref="F29">_xlfn.IFNA(INDEX(Data!$D$1:$D$865,MATCH(1,("1+"&amp;$A29=Data!$A$1:$A$865)*(905=Data!$B$1:$B$865),0)),"")</f>
        <v>3.59</v>
      </c>
      <c r="G29" cm="1">
        <f t="array" ref="G29">_xlfn.IFNA(INDEX(Data!$D$1:$D$865,MATCH(1,("1+"&amp;$A29=Data!$A$1:$A$865)*(906=Data!$B$1:$B$865),0)),"")</f>
        <v>3.53</v>
      </c>
      <c r="H29" cm="1">
        <f t="array" ref="H29">_xlfn.IFNA(INDEX(Data!$D$1:$D$865,MATCH(1,("2+"&amp;$A29=Data!$A$1:$A$865)*(905=Data!$B$1:$B$865),0)),"")</f>
        <v>3.64</v>
      </c>
      <c r="I29" cm="1">
        <f t="array" ref="I29">_xlfn.IFNA(INDEX(Data!$D$1:$D$865,MATCH(1,("2+"&amp;$A29=Data!$A$1:$A$865)*(906=Data!$B$1:$B$865),0)),"")</f>
        <v>3.98</v>
      </c>
      <c r="J29">
        <f t="shared" si="0"/>
        <v>3.5599999999999996</v>
      </c>
      <c r="K29">
        <f t="shared" si="1"/>
        <v>3.81</v>
      </c>
      <c r="L29" s="3" t="str">
        <f>_xlfn.IFNA(VLOOKUP($A29,'Cr4+'!$Y:$AB,2,FALSE),"")</f>
        <v>T</v>
      </c>
      <c r="M29" s="3">
        <f>_xlfn.IFNA((VLOOKUP($A29,'Cr4+'!$Y:$AB,3,FALSE)),"")</f>
        <v>113</v>
      </c>
      <c r="N29" s="3">
        <f>_xlfn.IFNA(VLOOKUP($A29,'Cr4+'!$Y:$AB,4,FALSE),"")</f>
        <v>0</v>
      </c>
    </row>
    <row r="30" spans="1:14" x14ac:dyDescent="0.25">
      <c r="A30" t="str">
        <v>A26-454</v>
      </c>
      <c r="B30" cm="1">
        <f t="array" ref="B30">_xlfn.IFNA(INDEX(Data!$D$1:$D$865,MATCH(1,("1+"&amp;$A30=Data!$A$1:$A$865)*(1236=Data!$B$1:$B$865),0)),"")</f>
        <v>2.39</v>
      </c>
      <c r="C30" cm="1">
        <f t="array" ref="C30">_xlfn.IFNA(INDEX(Data!$D$1:$D$865,MATCH(1,("1+"&amp;$A30=Data!$A$1:$A$865)*(1237=Data!$B$1:$B$865),0)),"")</f>
        <v>2.41</v>
      </c>
      <c r="D30" cm="1">
        <f t="array" ref="D30">_xlfn.IFNA(INDEX(Data!$D$1:$D$865,MATCH(1,("2+"&amp;$A30=Data!$A$1:$A$865)*(1236=Data!$B$1:$B$865),0)),"")</f>
        <v>1.93</v>
      </c>
      <c r="E30" cm="1">
        <f t="array" ref="E30">_xlfn.IFNA(INDEX(Data!$D$1:$D$865,MATCH(1,("2+"&amp;$A30=Data!$A$1:$A$865)*(1237=Data!$B$1:$B$865),0)),"")</f>
        <v>2.4700000000000002</v>
      </c>
      <c r="F30" cm="1">
        <f t="array" ref="F30">_xlfn.IFNA(INDEX(Data!$D$1:$D$865,MATCH(1,("1+"&amp;$A30=Data!$A$1:$A$865)*(905=Data!$B$1:$B$865),0)),"")</f>
        <v>2.99</v>
      </c>
      <c r="G30" cm="1">
        <f t="array" ref="G30">_xlfn.IFNA(INDEX(Data!$D$1:$D$865,MATCH(1,("1+"&amp;$A30=Data!$A$1:$A$865)*(906=Data!$B$1:$B$865),0)),"")</f>
        <v>2.98</v>
      </c>
      <c r="H30" cm="1">
        <f t="array" ref="H30">_xlfn.IFNA(INDEX(Data!$D$1:$D$865,MATCH(1,("2+"&amp;$A30=Data!$A$1:$A$865)*(905=Data!$B$1:$B$865),0)),"")</f>
        <v>3.46</v>
      </c>
      <c r="I30" cm="1">
        <f t="array" ref="I30">_xlfn.IFNA(INDEX(Data!$D$1:$D$865,MATCH(1,("2+"&amp;$A30=Data!$A$1:$A$865)*(906=Data!$B$1:$B$865),0)),"")</f>
        <v>3.39</v>
      </c>
      <c r="J30">
        <f t="shared" si="0"/>
        <v>2.9850000000000003</v>
      </c>
      <c r="K30">
        <f t="shared" si="1"/>
        <v>3.4249999999999998</v>
      </c>
      <c r="L30" s="3" t="str">
        <f>_xlfn.IFNA(VLOOKUP($A30,'Cr4+'!$Y:$AB,2,FALSE),"")</f>
        <v>T11</v>
      </c>
      <c r="M30" s="3">
        <f>_xlfn.IFNA((VLOOKUP($A30,'Cr4+'!$Y:$AB,3,FALSE)),"")</f>
        <v>72</v>
      </c>
      <c r="N30" s="3">
        <f>_xlfn.IFNA(VLOOKUP($A30,'Cr4+'!$Y:$AB,4,FALSE),"")</f>
        <v>0</v>
      </c>
    </row>
    <row r="31" spans="1:14" x14ac:dyDescent="0.25">
      <c r="A31" t="str">
        <v>A26-459</v>
      </c>
      <c r="B31" cm="1">
        <f t="array" ref="B31">_xlfn.IFNA(INDEX(Data!$D$1:$D$865,MATCH(1,("1+"&amp;$A31=Data!$A$1:$A$865)*(1236=Data!$B$1:$B$865),0)),"")</f>
        <v>1.081</v>
      </c>
      <c r="C31" cm="1">
        <f t="array" ref="C31">_xlfn.IFNA(INDEX(Data!$D$1:$D$865,MATCH(1,("1+"&amp;$A31=Data!$A$1:$A$865)*(1237=Data!$B$1:$B$865),0)),"")</f>
        <v>1.0780000000000001</v>
      </c>
      <c r="D31" cm="1">
        <f t="array" ref="D31">_xlfn.IFNA(INDEX(Data!$D$1:$D$865,MATCH(1,("2+"&amp;$A31=Data!$A$1:$A$865)*(1236=Data!$B$1:$B$865),0)),"")</f>
        <v>0.85599999999999998</v>
      </c>
      <c r="E31" cm="1">
        <f t="array" ref="E31">_xlfn.IFNA(INDEX(Data!$D$1:$D$865,MATCH(1,("2+"&amp;$A31=Data!$A$1:$A$865)*(1237=Data!$B$1:$B$865),0)),"")</f>
        <v>0.98199999999999998</v>
      </c>
      <c r="F31" cm="1">
        <f t="array" ref="F31">_xlfn.IFNA(INDEX(Data!$D$1:$D$865,MATCH(1,("1+"&amp;$A31=Data!$A$1:$A$865)*(905=Data!$B$1:$B$865),0)),"")</f>
        <v>5.72</v>
      </c>
      <c r="G31" cm="1">
        <f t="array" ref="G31">_xlfn.IFNA(INDEX(Data!$D$1:$D$865,MATCH(1,("1+"&amp;$A31=Data!$A$1:$A$865)*(906=Data!$B$1:$B$865),0)),"")</f>
        <v>5.69</v>
      </c>
      <c r="H31" cm="1">
        <f t="array" ref="H31">_xlfn.IFNA(INDEX(Data!$D$1:$D$865,MATCH(1,("2+"&amp;$A31=Data!$A$1:$A$865)*(905=Data!$B$1:$B$865),0)),"")</f>
        <v>5.15</v>
      </c>
      <c r="I31" cm="1">
        <f t="array" ref="I31">_xlfn.IFNA(INDEX(Data!$D$1:$D$865,MATCH(1,("2+"&amp;$A31=Data!$A$1:$A$865)*(906=Data!$B$1:$B$865),0)),"")</f>
        <v>5.59</v>
      </c>
      <c r="J31">
        <f t="shared" si="0"/>
        <v>5.7050000000000001</v>
      </c>
      <c r="K31">
        <f t="shared" si="1"/>
        <v>5.37</v>
      </c>
      <c r="L31" s="3" t="str">
        <f>_xlfn.IFNA(VLOOKUP($A31,'Cr4+'!$Y:$AB,2,FALSE),"")</f>
        <v>T</v>
      </c>
      <c r="M31" s="3">
        <f>_xlfn.IFNA((VLOOKUP($A31,'Cr4+'!$Y:$AB,3,FALSE)),"")</f>
        <v>105</v>
      </c>
      <c r="N31" s="3">
        <f>_xlfn.IFNA(VLOOKUP($A31,'Cr4+'!$Y:$AB,4,FALSE),"")</f>
        <v>0</v>
      </c>
    </row>
    <row r="32" spans="1:14" x14ac:dyDescent="0.25">
      <c r="A32" t="str">
        <v>A26-471</v>
      </c>
      <c r="B32" cm="1">
        <f t="array" ref="B32">_xlfn.IFNA(INDEX(Data!$D$1:$D$865,MATCH(1,("1+"&amp;$A32=Data!$A$1:$A$865)*(1236=Data!$B$1:$B$865),0)),"")</f>
        <v>0.08</v>
      </c>
      <c r="C32" cm="1">
        <f t="array" ref="C32">_xlfn.IFNA(INDEX(Data!$D$1:$D$865,MATCH(1,("1+"&amp;$A32=Data!$A$1:$A$865)*(1237=Data!$B$1:$B$865),0)),"")</f>
        <v>0.11</v>
      </c>
      <c r="D32" cm="1">
        <f t="array" ref="D32">_xlfn.IFNA(INDEX(Data!$D$1:$D$865,MATCH(1,("2+"&amp;$A32=Data!$A$1:$A$865)*(1236=Data!$B$1:$B$865),0)),"")</f>
        <v>0.12</v>
      </c>
      <c r="E32" cm="1">
        <f t="array" ref="E32">_xlfn.IFNA(INDEX(Data!$D$1:$D$865,MATCH(1,("2+"&amp;$A32=Data!$A$1:$A$865)*(1237=Data!$B$1:$B$865),0)),"")</f>
        <v>0.11</v>
      </c>
      <c r="F32" cm="1">
        <f t="array" ref="F32">_xlfn.IFNA(INDEX(Data!$D$1:$D$865,MATCH(1,("1+"&amp;$A32=Data!$A$1:$A$865)*(905=Data!$B$1:$B$865),0)),"")</f>
        <v>7.0000000000000007E-2</v>
      </c>
      <c r="G32" cm="1">
        <f t="array" ref="G32">_xlfn.IFNA(INDEX(Data!$D$1:$D$865,MATCH(1,("1+"&amp;$A32=Data!$A$1:$A$865)*(906=Data!$B$1:$B$865),0)),"")</f>
        <v>0.09</v>
      </c>
      <c r="H32" cm="1">
        <f t="array" ref="H32">_xlfn.IFNA(INDEX(Data!$D$1:$D$865,MATCH(1,("2+"&amp;$A32=Data!$A$1:$A$865)*(905=Data!$B$1:$B$865),0)),"")</f>
        <v>0.19</v>
      </c>
      <c r="I32" cm="1">
        <f t="array" ref="I32">_xlfn.IFNA(INDEX(Data!$D$1:$D$865,MATCH(1,("2+"&amp;$A32=Data!$A$1:$A$865)*(906=Data!$B$1:$B$865),0)),"")</f>
        <v>0.1</v>
      </c>
      <c r="J32">
        <f t="shared" si="0"/>
        <v>0.08</v>
      </c>
      <c r="K32">
        <f t="shared" si="1"/>
        <v>0.14500000000000002</v>
      </c>
      <c r="L32" s="3" t="str">
        <f>_xlfn.IFNA(VLOOKUP($A32,'Cr4+'!$Y:$AB,2,FALSE),"")</f>
        <v>T</v>
      </c>
      <c r="M32" s="3">
        <f>_xlfn.IFNA((VLOOKUP($A32,'Cr4+'!$Y:$AB,3,FALSE)),"")</f>
        <v>114</v>
      </c>
      <c r="N32" s="3">
        <f>_xlfn.IFNA(VLOOKUP($A32,'Cr4+'!$Y:$AB,4,FALSE),"")</f>
        <v>0</v>
      </c>
    </row>
    <row r="33" spans="1:14" x14ac:dyDescent="0.25">
      <c r="A33" t="str">
        <v>A26-473</v>
      </c>
      <c r="B33" cm="1">
        <f t="array" ref="B33">_xlfn.IFNA(INDEX(Data!$D$1:$D$865,MATCH(1,("1+"&amp;$A33=Data!$A$1:$A$865)*(1236=Data!$B$1:$B$865),0)),"")</f>
        <v>0.91</v>
      </c>
      <c r="C33" cm="1">
        <f t="array" ref="C33">_xlfn.IFNA(INDEX(Data!$D$1:$D$865,MATCH(1,("1+"&amp;$A33=Data!$A$1:$A$865)*(1237=Data!$B$1:$B$865),0)),"")</f>
        <v>0.93</v>
      </c>
      <c r="D33" cm="1">
        <f t="array" ref="D33">_xlfn.IFNA(INDEX(Data!$D$1:$D$865,MATCH(1,("2+"&amp;$A33=Data!$A$1:$A$865)*(1236=Data!$B$1:$B$865),0)),"")</f>
        <v>0.65</v>
      </c>
      <c r="E33" cm="1">
        <f t="array" ref="E33">_xlfn.IFNA(INDEX(Data!$D$1:$D$865,MATCH(1,("2+"&amp;$A33=Data!$A$1:$A$865)*(1237=Data!$B$1:$B$865),0)),"")</f>
        <v>0.74</v>
      </c>
      <c r="F33" cm="1">
        <f t="array" ref="F33">_xlfn.IFNA(INDEX(Data!$D$1:$D$865,MATCH(1,("1+"&amp;$A33=Data!$A$1:$A$865)*(905=Data!$B$1:$B$865),0)),"")</f>
        <v>1.23</v>
      </c>
      <c r="G33" cm="1">
        <f t="array" ref="G33">_xlfn.IFNA(INDEX(Data!$D$1:$D$865,MATCH(1,("1+"&amp;$A33=Data!$A$1:$A$865)*(906=Data!$B$1:$B$865),0)),"")</f>
        <v>1.24</v>
      </c>
      <c r="H33" cm="1">
        <f t="array" ref="H33">_xlfn.IFNA(INDEX(Data!$D$1:$D$865,MATCH(1,("2+"&amp;$A33=Data!$A$1:$A$865)*(905=Data!$B$1:$B$865),0)),"")</f>
        <v>1.33</v>
      </c>
      <c r="I33" cm="1">
        <f t="array" ref="I33">_xlfn.IFNA(INDEX(Data!$D$1:$D$865,MATCH(1,("2+"&amp;$A33=Data!$A$1:$A$865)*(906=Data!$B$1:$B$865),0)),"")</f>
        <v>1.4</v>
      </c>
      <c r="J33">
        <f t="shared" si="0"/>
        <v>1.2349999999999999</v>
      </c>
      <c r="K33">
        <f t="shared" si="1"/>
        <v>1.365</v>
      </c>
      <c r="L33" s="3" t="str">
        <f>_xlfn.IFNA(VLOOKUP($A33,'Cr4+'!$Y:$AB,2,FALSE),"")</f>
        <v>T</v>
      </c>
      <c r="M33" s="3">
        <f>_xlfn.IFNA((VLOOKUP($A33,'Cr4+'!$Y:$AB,3,FALSE)),"")</f>
        <v>75</v>
      </c>
      <c r="N33" s="3">
        <f>_xlfn.IFNA(VLOOKUP($A33,'Cr4+'!$Y:$AB,4,FALSE),"")</f>
        <v>0</v>
      </c>
    </row>
    <row r="34" spans="1:14" x14ac:dyDescent="0.25">
      <c r="A34" t="str">
        <v>A26-476</v>
      </c>
      <c r="B34" cm="1">
        <f t="array" ref="B34">_xlfn.IFNA(INDEX(Data!$D$1:$D$865,MATCH(1,("1+"&amp;$A34=Data!$A$1:$A$865)*(1236=Data!$B$1:$B$865),0)),"")</f>
        <v>0.47</v>
      </c>
      <c r="C34" cm="1">
        <f t="array" ref="C34">_xlfn.IFNA(INDEX(Data!$D$1:$D$865,MATCH(1,("1+"&amp;$A34=Data!$A$1:$A$865)*(1237=Data!$B$1:$B$865),0)),"")</f>
        <v>0.45</v>
      </c>
      <c r="D34" cm="1">
        <f t="array" ref="D34">_xlfn.IFNA(INDEX(Data!$D$1:$D$865,MATCH(1,("2+"&amp;$A34=Data!$A$1:$A$865)*(1236=Data!$B$1:$B$865),0)),"")</f>
        <v>0.28999999999999998</v>
      </c>
      <c r="E34" cm="1">
        <f t="array" ref="E34">_xlfn.IFNA(INDEX(Data!$D$1:$D$865,MATCH(1,("2+"&amp;$A34=Data!$A$1:$A$865)*(1237=Data!$B$1:$B$865),0)),"")</f>
        <v>0.41</v>
      </c>
      <c r="F34" cm="1">
        <f t="array" ref="F34">_xlfn.IFNA(INDEX(Data!$D$1:$D$865,MATCH(1,("1+"&amp;$A34=Data!$A$1:$A$865)*(905=Data!$B$1:$B$865),0)),"")</f>
        <v>0.61</v>
      </c>
      <c r="G34" cm="1">
        <f t="array" ref="G34">_xlfn.IFNA(INDEX(Data!$D$1:$D$865,MATCH(1,("1+"&amp;$A34=Data!$A$1:$A$865)*(906=Data!$B$1:$B$865),0)),"")</f>
        <v>0.59</v>
      </c>
      <c r="H34" cm="1">
        <f t="array" ref="H34">_xlfn.IFNA(INDEX(Data!$D$1:$D$865,MATCH(1,("2+"&amp;$A34=Data!$A$1:$A$865)*(905=Data!$B$1:$B$865),0)),"")</f>
        <v>0.67</v>
      </c>
      <c r="I34" cm="1">
        <f t="array" ref="I34">_xlfn.IFNA(INDEX(Data!$D$1:$D$865,MATCH(1,("2+"&amp;$A34=Data!$A$1:$A$865)*(906=Data!$B$1:$B$865),0)),"")</f>
        <v>0.57999999999999996</v>
      </c>
      <c r="J34">
        <f t="shared" si="0"/>
        <v>0.6</v>
      </c>
      <c r="K34">
        <f t="shared" si="1"/>
        <v>0.625</v>
      </c>
      <c r="L34" s="3" t="str">
        <f>_xlfn.IFNA(VLOOKUP($A34,'Cr4+'!$Y:$AB,2,FALSE),"")</f>
        <v>T</v>
      </c>
      <c r="M34" s="3">
        <f>_xlfn.IFNA((VLOOKUP($A34,'Cr4+'!$Y:$AB,3,FALSE)),"")</f>
        <v>115</v>
      </c>
      <c r="N34" s="3">
        <f>_xlfn.IFNA(VLOOKUP($A34,'Cr4+'!$Y:$AB,4,FALSE),"")</f>
        <v>0</v>
      </c>
    </row>
    <row r="35" spans="1:14" x14ac:dyDescent="0.25">
      <c r="A35" t="str">
        <v>A26-495</v>
      </c>
      <c r="B35" cm="1">
        <f t="array" ref="B35">_xlfn.IFNA(INDEX(Data!$D$1:$D$865,MATCH(1,("1+"&amp;$A35=Data!$A$1:$A$865)*(1236=Data!$B$1:$B$865),0)),"")</f>
        <v>4.07</v>
      </c>
      <c r="C35" cm="1">
        <f t="array" ref="C35">_xlfn.IFNA(INDEX(Data!$D$1:$D$865,MATCH(1,("1+"&amp;$A35=Data!$A$1:$A$865)*(1237=Data!$B$1:$B$865),0)),"")</f>
        <v>4.0999999999999996</v>
      </c>
      <c r="D35" cm="1">
        <f t="array" ref="D35">_xlfn.IFNA(INDEX(Data!$D$1:$D$865,MATCH(1,("2+"&amp;$A35=Data!$A$1:$A$865)*(1236=Data!$B$1:$B$865),0)),"")</f>
        <v>2.92</v>
      </c>
      <c r="E35" cm="1">
        <f t="array" ref="E35">_xlfn.IFNA(INDEX(Data!$D$1:$D$865,MATCH(1,("2+"&amp;$A35=Data!$A$1:$A$865)*(1237=Data!$B$1:$B$865),0)),"")</f>
        <v>2.99</v>
      </c>
      <c r="F35" cm="1">
        <f t="array" ref="F35">_xlfn.IFNA(INDEX(Data!$D$1:$D$865,MATCH(1,("1+"&amp;$A35=Data!$A$1:$A$865)*(905=Data!$B$1:$B$865),0)),"")</f>
        <v>5.21</v>
      </c>
      <c r="G35" cm="1">
        <f t="array" ref="G35">_xlfn.IFNA(INDEX(Data!$D$1:$D$865,MATCH(1,("1+"&amp;$A35=Data!$A$1:$A$865)*(906=Data!$B$1:$B$865),0)),"")</f>
        <v>5.15</v>
      </c>
      <c r="H35" cm="1">
        <f t="array" ref="H35">_xlfn.IFNA(INDEX(Data!$D$1:$D$865,MATCH(1,("2+"&amp;$A35=Data!$A$1:$A$865)*(905=Data!$B$1:$B$865),0)),"")</f>
        <v>4.3499999999999996</v>
      </c>
      <c r="I35" cm="1">
        <f t="array" ref="I35">_xlfn.IFNA(INDEX(Data!$D$1:$D$865,MATCH(1,("2+"&amp;$A35=Data!$A$1:$A$865)*(906=Data!$B$1:$B$865),0)),"")</f>
        <v>4.3499999999999996</v>
      </c>
      <c r="J35">
        <f t="shared" si="0"/>
        <v>5.18</v>
      </c>
      <c r="K35">
        <f t="shared" si="1"/>
        <v>4.3499999999999996</v>
      </c>
      <c r="L35" s="3" t="str">
        <f>_xlfn.IFNA(VLOOKUP($A35,'Cr4+'!$Y:$AB,2,FALSE),"")</f>
        <v>T</v>
      </c>
      <c r="M35" s="3">
        <f>_xlfn.IFNA((VLOOKUP($A35,'Cr4+'!$Y:$AB,3,FALSE)),"")</f>
        <v>46</v>
      </c>
      <c r="N35" s="3">
        <f>_xlfn.IFNA(VLOOKUP($A35,'Cr4+'!$Y:$AB,4,FALSE),"")</f>
        <v>0</v>
      </c>
    </row>
    <row r="36" spans="1:14" x14ac:dyDescent="0.25">
      <c r="A36" t="str">
        <v>A26-499</v>
      </c>
      <c r="B36" cm="1">
        <f t="array" ref="B36">_xlfn.IFNA(INDEX(Data!$D$1:$D$865,MATCH(1,("1+"&amp;$A36=Data!$A$1:$A$865)*(1236=Data!$B$1:$B$865),0)),"")</f>
        <v>0.42</v>
      </c>
      <c r="C36" cm="1">
        <f t="array" ref="C36">_xlfn.IFNA(INDEX(Data!$D$1:$D$865,MATCH(1,("1+"&amp;$A36=Data!$A$1:$A$865)*(1237=Data!$B$1:$B$865),0)),"")</f>
        <v>0.43</v>
      </c>
      <c r="D36" cm="1">
        <f t="array" ref="D36">_xlfn.IFNA(INDEX(Data!$D$1:$D$865,MATCH(1,("2+"&amp;$A36=Data!$A$1:$A$865)*(1236=Data!$B$1:$B$865),0)),"")</f>
        <v>0.36</v>
      </c>
      <c r="E36" cm="1">
        <f t="array" ref="E36">_xlfn.IFNA(INDEX(Data!$D$1:$D$865,MATCH(1,("2+"&amp;$A36=Data!$A$1:$A$865)*(1237=Data!$B$1:$B$865),0)),"")</f>
        <v>0.43</v>
      </c>
      <c r="F36" cm="1">
        <f t="array" ref="F36">_xlfn.IFNA(INDEX(Data!$D$1:$D$865,MATCH(1,("1+"&amp;$A36=Data!$A$1:$A$865)*(905=Data!$B$1:$B$865),0)),"")</f>
        <v>0.59</v>
      </c>
      <c r="G36" cm="1">
        <f t="array" ref="G36">_xlfn.IFNA(INDEX(Data!$D$1:$D$865,MATCH(1,("1+"&amp;$A36=Data!$A$1:$A$865)*(906=Data!$B$1:$B$865),0)),"")</f>
        <v>0.57999999999999996</v>
      </c>
      <c r="H36" cm="1">
        <f t="array" ref="H36">_xlfn.IFNA(INDEX(Data!$D$1:$D$865,MATCH(1,("2+"&amp;$A36=Data!$A$1:$A$865)*(905=Data!$B$1:$B$865),0)),"")</f>
        <v>0.68</v>
      </c>
      <c r="I36" cm="1">
        <f t="array" ref="I36">_xlfn.IFNA(INDEX(Data!$D$1:$D$865,MATCH(1,("2+"&amp;$A36=Data!$A$1:$A$865)*(906=Data!$B$1:$B$865),0)),"")</f>
        <v>0.67</v>
      </c>
      <c r="J36">
        <f t="shared" si="0"/>
        <v>0.58499999999999996</v>
      </c>
      <c r="K36">
        <f t="shared" si="1"/>
        <v>0.67500000000000004</v>
      </c>
      <c r="L36" s="3" t="str">
        <f>_xlfn.IFNA(VLOOKUP($A36,'Cr4+'!$Y:$AB,2,FALSE),"")</f>
        <v>T</v>
      </c>
      <c r="M36" s="3">
        <f>_xlfn.IFNA((VLOOKUP($A36,'Cr4+'!$Y:$AB,3,FALSE)),"")</f>
        <v>113</v>
      </c>
      <c r="N36" s="3">
        <f>_xlfn.IFNA(VLOOKUP($A36,'Cr4+'!$Y:$AB,4,FALSE),"")</f>
        <v>0</v>
      </c>
    </row>
    <row r="37" spans="1:14" x14ac:dyDescent="0.25">
      <c r="A37" t="str">
        <v>A26-501</v>
      </c>
      <c r="B37" cm="1">
        <f t="array" ref="B37">_xlfn.IFNA(INDEX(Data!$D$1:$D$865,MATCH(1,("1+"&amp;$A37=Data!$A$1:$A$865)*(1236=Data!$B$1:$B$865),0)),"")</f>
        <v>0.4</v>
      </c>
      <c r="C37" cm="1">
        <f t="array" ref="C37">_xlfn.IFNA(INDEX(Data!$D$1:$D$865,MATCH(1,("1+"&amp;$A37=Data!$A$1:$A$865)*(1237=Data!$B$1:$B$865),0)),"")</f>
        <v>0.46</v>
      </c>
      <c r="D37" cm="1">
        <f t="array" ref="D37">_xlfn.IFNA(INDEX(Data!$D$1:$D$865,MATCH(1,("2+"&amp;$A37=Data!$A$1:$A$865)*(1236=Data!$B$1:$B$865),0)),"")</f>
        <v>0.32</v>
      </c>
      <c r="E37" cm="1">
        <f t="array" ref="E37">_xlfn.IFNA(INDEX(Data!$D$1:$D$865,MATCH(1,("2+"&amp;$A37=Data!$A$1:$A$865)*(1237=Data!$B$1:$B$865),0)),"")</f>
        <v>0.39</v>
      </c>
      <c r="F37" cm="1">
        <f t="array" ref="F37">_xlfn.IFNA(INDEX(Data!$D$1:$D$865,MATCH(1,("1+"&amp;$A37=Data!$A$1:$A$865)*(905=Data!$B$1:$B$865),0)),"")</f>
        <v>0.55000000000000004</v>
      </c>
      <c r="G37" cm="1">
        <f t="array" ref="G37">_xlfn.IFNA(INDEX(Data!$D$1:$D$865,MATCH(1,("1+"&amp;$A37=Data!$A$1:$A$865)*(906=Data!$B$1:$B$865),0)),"")</f>
        <v>0.55000000000000004</v>
      </c>
      <c r="H37" cm="1">
        <f t="array" ref="H37">_xlfn.IFNA(INDEX(Data!$D$1:$D$865,MATCH(1,("2+"&amp;$A37=Data!$A$1:$A$865)*(905=Data!$B$1:$B$865),0)),"")</f>
        <v>0.62</v>
      </c>
      <c r="I37" cm="1">
        <f t="array" ref="I37">_xlfn.IFNA(INDEX(Data!$D$1:$D$865,MATCH(1,("2+"&amp;$A37=Data!$A$1:$A$865)*(906=Data!$B$1:$B$865),0)),"")</f>
        <v>0.61</v>
      </c>
      <c r="J37">
        <f t="shared" si="0"/>
        <v>0.55000000000000004</v>
      </c>
      <c r="K37">
        <f t="shared" si="1"/>
        <v>0.61499999999999999</v>
      </c>
      <c r="L37" s="3" t="str">
        <f>_xlfn.IFNA(VLOOKUP($A37,'Cr4+'!$Y:$AB,2,FALSE),"")</f>
        <v>T1</v>
      </c>
      <c r="M37" s="3">
        <f>_xlfn.IFNA((VLOOKUP($A37,'Cr4+'!$Y:$AB,3,FALSE)),"")</f>
        <v>62</v>
      </c>
      <c r="N37" s="3">
        <f>_xlfn.IFNA(VLOOKUP($A37,'Cr4+'!$Y:$AB,4,FALSE),"")</f>
        <v>0</v>
      </c>
    </row>
    <row r="38" spans="1:14" x14ac:dyDescent="0.25">
      <c r="A38">
        <v>0</v>
      </c>
      <c r="B38" t="str" cm="1">
        <f t="array" ref="B38">_xlfn.IFNA(INDEX(Data!$D$1:$D$865,MATCH(1,("1+"&amp;$A38=Data!$A$1:$A$865)*(1236=Data!$B$1:$B$865),0)),"")</f>
        <v/>
      </c>
      <c r="C38" t="str" cm="1">
        <f t="array" ref="C38">_xlfn.IFNA(INDEX(Data!$D$1:$D$865,MATCH(1,("1+"&amp;$A38=Data!$A$1:$A$865)*(1237=Data!$B$1:$B$865),0)),"")</f>
        <v/>
      </c>
      <c r="D38" t="str" cm="1">
        <f t="array" ref="D38">_xlfn.IFNA(INDEX(Data!$D$1:$D$865,MATCH(1,("2+"&amp;$A38=Data!$A$1:$A$865)*(1236=Data!$B$1:$B$865),0)),"")</f>
        <v/>
      </c>
      <c r="E38" t="str" cm="1">
        <f t="array" ref="E38">_xlfn.IFNA(INDEX(Data!$D$1:$D$865,MATCH(1,("2+"&amp;$A38=Data!$A$1:$A$865)*(1237=Data!$B$1:$B$865),0)),"")</f>
        <v/>
      </c>
      <c r="F38" t="str" cm="1">
        <f t="array" ref="F38">_xlfn.IFNA(INDEX(Data!$D$1:$D$865,MATCH(1,("1+"&amp;$A38=Data!$A$1:$A$865)*(905=Data!$B$1:$B$865),0)),"")</f>
        <v/>
      </c>
      <c r="G38" t="str" cm="1">
        <f t="array" ref="G38">_xlfn.IFNA(INDEX(Data!$D$1:$D$865,MATCH(1,("1+"&amp;$A38=Data!$A$1:$A$865)*(906=Data!$B$1:$B$865),0)),"")</f>
        <v/>
      </c>
      <c r="H38" t="str" cm="1">
        <f t="array" ref="H38">_xlfn.IFNA(INDEX(Data!$D$1:$D$865,MATCH(1,("2+"&amp;$A38=Data!$A$1:$A$865)*(905=Data!$B$1:$B$865),0)),"")</f>
        <v/>
      </c>
      <c r="I38" t="str" cm="1">
        <f t="array" ref="I38">_xlfn.IFNA(INDEX(Data!$D$1:$D$865,MATCH(1,("2+"&amp;$A38=Data!$A$1:$A$865)*(906=Data!$B$1:$B$865),0)),"")</f>
        <v/>
      </c>
      <c r="J38" t="str">
        <f t="shared" si="0"/>
        <v/>
      </c>
      <c r="K38" t="str">
        <f t="shared" si="1"/>
        <v/>
      </c>
      <c r="L38" s="3" t="str">
        <f>_xlfn.IFNA(VLOOKUP($A38,'Cr4+'!$Y:$AB,2,FALSE),"")</f>
        <v/>
      </c>
      <c r="M38" s="3" t="str">
        <f>_xlfn.IFNA((VLOOKUP($A38,'Cr4+'!$Y:$AB,3,FALSE)),"")</f>
        <v/>
      </c>
      <c r="N38" s="3" t="str">
        <f>_xlfn.IFNA(VLOOKUP($A38,'Cr4+'!$Y:$AB,4,FALSE),"")</f>
        <v/>
      </c>
    </row>
    <row r="39" spans="1:14" x14ac:dyDescent="0.25">
      <c r="B39" t="str" cm="1">
        <f t="array" ref="B39">_xlfn.IFNA(INDEX(Data!$D$1:$D$865,MATCH(1,("1+"&amp;$A39=Data!$A$1:$A$865)*(1236=Data!$B$1:$B$865),0)),"")</f>
        <v/>
      </c>
      <c r="C39" t="str" cm="1">
        <f t="array" ref="C39">_xlfn.IFNA(INDEX(Data!$D$1:$D$865,MATCH(1,("1+"&amp;$A39=Data!$A$1:$A$865)*(1237=Data!$B$1:$B$865),0)),"")</f>
        <v/>
      </c>
      <c r="D39" t="str" cm="1">
        <f t="array" ref="D39">_xlfn.IFNA(INDEX(Data!$D$1:$D$865,MATCH(1,("2+"&amp;$A39=Data!$A$1:$A$865)*(1236=Data!$B$1:$B$865),0)),"")</f>
        <v/>
      </c>
      <c r="E39" t="str" cm="1">
        <f t="array" ref="E39">_xlfn.IFNA(INDEX(Data!$D$1:$D$865,MATCH(1,("2+"&amp;$A39=Data!$A$1:$A$865)*(1237=Data!$B$1:$B$865),0)),"")</f>
        <v/>
      </c>
      <c r="F39" t="str" cm="1">
        <f t="array" ref="F39">_xlfn.IFNA(INDEX(Data!$D$1:$D$865,MATCH(1,("1+"&amp;$A39=Data!$A$1:$A$865)*(905=Data!$B$1:$B$865),0)),"")</f>
        <v/>
      </c>
      <c r="G39" t="str" cm="1">
        <f t="array" ref="G39">_xlfn.IFNA(INDEX(Data!$D$1:$D$865,MATCH(1,("1+"&amp;$A39=Data!$A$1:$A$865)*(906=Data!$B$1:$B$865),0)),"")</f>
        <v/>
      </c>
      <c r="H39" t="str" cm="1">
        <f t="array" ref="H39">_xlfn.IFNA(INDEX(Data!$D$1:$D$865,MATCH(1,("2+"&amp;$A39=Data!$A$1:$A$865)*(905=Data!$B$1:$B$865),0)),"")</f>
        <v/>
      </c>
      <c r="I39" t="str" cm="1">
        <f t="array" ref="I39">_xlfn.IFNA(INDEX(Data!$D$1:$D$865,MATCH(1,("2+"&amp;$A39=Data!$A$1:$A$865)*(906=Data!$B$1:$B$865),0)),"")</f>
        <v/>
      </c>
      <c r="J39" t="str">
        <f t="shared" si="0"/>
        <v/>
      </c>
      <c r="K39" t="str">
        <f t="shared" si="1"/>
        <v/>
      </c>
      <c r="L39" s="3" t="str">
        <f>_xlfn.IFNA(VLOOKUP($A39,'Cr4+'!$Y:$AB,2,FALSE),"")</f>
        <v/>
      </c>
      <c r="M39" s="3" t="str">
        <f>_xlfn.IFNA((VLOOKUP($A39,'Cr4+'!$Y:$AB,3,FALSE)),"")</f>
        <v/>
      </c>
      <c r="N39" s="3" t="str">
        <f>_xlfn.IFNA(VLOOKUP($A39,'Cr4+'!$Y:$AB,4,FALSE),"")</f>
        <v/>
      </c>
    </row>
    <row r="40" spans="1:14" x14ac:dyDescent="0.25">
      <c r="B40" t="str" cm="1">
        <f t="array" ref="B40">_xlfn.IFNA(INDEX(Data!$D$1:$D$865,MATCH(1,("1+"&amp;$A40=Data!$A$1:$A$865)*(1236=Data!$B$1:$B$865),0)),"")</f>
        <v/>
      </c>
      <c r="C40" t="str" cm="1">
        <f t="array" ref="C40">_xlfn.IFNA(INDEX(Data!$D$1:$D$865,MATCH(1,("1+"&amp;$A40=Data!$A$1:$A$865)*(1237=Data!$B$1:$B$865),0)),"")</f>
        <v/>
      </c>
      <c r="D40" t="str" cm="1">
        <f t="array" ref="D40">_xlfn.IFNA(INDEX(Data!$D$1:$D$865,MATCH(1,("2+"&amp;$A40=Data!$A$1:$A$865)*(1236=Data!$B$1:$B$865),0)),"")</f>
        <v/>
      </c>
      <c r="E40" t="str" cm="1">
        <f t="array" ref="E40">_xlfn.IFNA(INDEX(Data!$D$1:$D$865,MATCH(1,("2+"&amp;$A40=Data!$A$1:$A$865)*(1237=Data!$B$1:$B$865),0)),"")</f>
        <v/>
      </c>
      <c r="F40" t="str" cm="1">
        <f t="array" ref="F40">_xlfn.IFNA(INDEX(Data!$D$1:$D$865,MATCH(1,("1+"&amp;$A40=Data!$A$1:$A$865)*(905=Data!$B$1:$B$865),0)),"")</f>
        <v/>
      </c>
      <c r="G40" t="str" cm="1">
        <f t="array" ref="G40">_xlfn.IFNA(INDEX(Data!$D$1:$D$865,MATCH(1,("1+"&amp;$A40=Data!$A$1:$A$865)*(906=Data!$B$1:$B$865),0)),"")</f>
        <v/>
      </c>
      <c r="H40" t="str" cm="1">
        <f t="array" ref="H40">_xlfn.IFNA(INDEX(Data!$D$1:$D$865,MATCH(1,("2+"&amp;$A40=Data!$A$1:$A$865)*(905=Data!$B$1:$B$865),0)),"")</f>
        <v/>
      </c>
      <c r="I40" t="str" cm="1">
        <f t="array" ref="I40">_xlfn.IFNA(INDEX(Data!$D$1:$D$865,MATCH(1,("2+"&amp;$A40=Data!$A$1:$A$865)*(906=Data!$B$1:$B$865),0)),"")</f>
        <v/>
      </c>
      <c r="J40" t="str">
        <f t="shared" si="0"/>
        <v/>
      </c>
      <c r="K40" t="str">
        <f t="shared" si="1"/>
        <v/>
      </c>
      <c r="L40" s="3" t="str">
        <f>_xlfn.IFNA(VLOOKUP($A40,'Cr4+'!$Y:$AB,2,FALSE),"")</f>
        <v/>
      </c>
      <c r="M40" s="3" t="str">
        <f>_xlfn.IFNA((VLOOKUP($A40,'Cr4+'!$Y:$AB,3,FALSE)),"")</f>
        <v/>
      </c>
      <c r="N40" s="3" t="str">
        <f>_xlfn.IFNA(VLOOKUP($A40,'Cr4+'!$Y:$AB,4,FALSE),"")</f>
        <v/>
      </c>
    </row>
    <row r="41" spans="1:14" x14ac:dyDescent="0.25">
      <c r="B41" t="str" cm="1">
        <f t="array" ref="B41">_xlfn.IFNA(INDEX(Data!$D$1:$D$865,MATCH(1,("1+"&amp;$A41=Data!$A$1:$A$865)*(1236=Data!$B$1:$B$865),0)),"")</f>
        <v/>
      </c>
      <c r="C41" t="str" cm="1">
        <f t="array" ref="C41">_xlfn.IFNA(INDEX(Data!$D$1:$D$865,MATCH(1,("1+"&amp;$A41=Data!$A$1:$A$865)*(1237=Data!$B$1:$B$865),0)),"")</f>
        <v/>
      </c>
      <c r="D41" t="str" cm="1">
        <f t="array" ref="D41">_xlfn.IFNA(INDEX(Data!$D$1:$D$865,MATCH(1,("2+"&amp;$A41=Data!$A$1:$A$865)*(1236=Data!$B$1:$B$865),0)),"")</f>
        <v/>
      </c>
      <c r="E41" t="str" cm="1">
        <f t="array" ref="E41">_xlfn.IFNA(INDEX(Data!$D$1:$D$865,MATCH(1,("2+"&amp;$A41=Data!$A$1:$A$865)*(1237=Data!$B$1:$B$865),0)),"")</f>
        <v/>
      </c>
      <c r="F41" t="str" cm="1">
        <f t="array" ref="F41">_xlfn.IFNA(INDEX(Data!$D$1:$D$865,MATCH(1,("1+"&amp;$A41=Data!$A$1:$A$865)*(905=Data!$B$1:$B$865),0)),"")</f>
        <v/>
      </c>
      <c r="G41" t="str" cm="1">
        <f t="array" ref="G41">_xlfn.IFNA(INDEX(Data!$D$1:$D$865,MATCH(1,("1+"&amp;$A41=Data!$A$1:$A$865)*(906=Data!$B$1:$B$865),0)),"")</f>
        <v/>
      </c>
      <c r="H41" t="str" cm="1">
        <f t="array" ref="H41">_xlfn.IFNA(INDEX(Data!$D$1:$D$865,MATCH(1,("2+"&amp;$A41=Data!$A$1:$A$865)*(905=Data!$B$1:$B$865),0)),"")</f>
        <v/>
      </c>
      <c r="I41" t="str" cm="1">
        <f t="array" ref="I41">_xlfn.IFNA(INDEX(Data!$D$1:$D$865,MATCH(1,("2+"&amp;$A41=Data!$A$1:$A$865)*(906=Data!$B$1:$B$865),0)),"")</f>
        <v/>
      </c>
      <c r="J41" t="str">
        <f t="shared" si="0"/>
        <v/>
      </c>
      <c r="K41" t="str">
        <f t="shared" si="1"/>
        <v/>
      </c>
      <c r="L41" s="3" t="str">
        <f>_xlfn.IFNA(VLOOKUP($A41,'Cr4+'!$Y:$AB,2,FALSE),"")</f>
        <v/>
      </c>
      <c r="M41" s="3" t="str">
        <f>_xlfn.IFNA((VLOOKUP($A41,'Cr4+'!$Y:$AB,3,FALSE)),"")</f>
        <v/>
      </c>
      <c r="N41" s="3" t="str">
        <f>_xlfn.IFNA(VLOOKUP($A41,'Cr4+'!$Y:$AB,4,FALSE),"")</f>
        <v/>
      </c>
    </row>
    <row r="42" spans="1:14" x14ac:dyDescent="0.25">
      <c r="B42" t="str" cm="1">
        <f t="array" ref="B42">_xlfn.IFNA(INDEX(Data!$D$1:$D$865,MATCH(1,("1+"&amp;$A42=Data!$A$1:$A$865)*(1236=Data!$B$1:$B$865),0)),"")</f>
        <v/>
      </c>
      <c r="C42" t="str" cm="1">
        <f t="array" ref="C42">_xlfn.IFNA(INDEX(Data!$D$1:$D$865,MATCH(1,("1+"&amp;$A42=Data!$A$1:$A$865)*(1237=Data!$B$1:$B$865),0)),"")</f>
        <v/>
      </c>
      <c r="D42" t="str" cm="1">
        <f t="array" ref="D42">_xlfn.IFNA(INDEX(Data!$D$1:$D$865,MATCH(1,("2+"&amp;$A42=Data!$A$1:$A$865)*(1236=Data!$B$1:$B$865),0)),"")</f>
        <v/>
      </c>
      <c r="E42" t="str" cm="1">
        <f t="array" ref="E42">_xlfn.IFNA(INDEX(Data!$D$1:$D$865,MATCH(1,("2+"&amp;$A42=Data!$A$1:$A$865)*(1237=Data!$B$1:$B$865),0)),"")</f>
        <v/>
      </c>
      <c r="F42" t="str" cm="1">
        <f t="array" ref="F42">_xlfn.IFNA(INDEX(Data!$D$1:$D$865,MATCH(1,("1+"&amp;$A42=Data!$A$1:$A$865)*(905=Data!$B$1:$B$865),0)),"")</f>
        <v/>
      </c>
      <c r="G42" t="str" cm="1">
        <f t="array" ref="G42">_xlfn.IFNA(INDEX(Data!$D$1:$D$865,MATCH(1,("1+"&amp;$A42=Data!$A$1:$A$865)*(906=Data!$B$1:$B$865),0)),"")</f>
        <v/>
      </c>
      <c r="H42" t="str" cm="1">
        <f t="array" ref="H42">_xlfn.IFNA(INDEX(Data!$D$1:$D$865,MATCH(1,("2+"&amp;$A42=Data!$A$1:$A$865)*(905=Data!$B$1:$B$865),0)),"")</f>
        <v/>
      </c>
      <c r="I42" t="str" cm="1">
        <f t="array" ref="I42">_xlfn.IFNA(INDEX(Data!$D$1:$D$865,MATCH(1,("2+"&amp;$A42=Data!$A$1:$A$865)*(906=Data!$B$1:$B$865),0)),"")</f>
        <v/>
      </c>
      <c r="J42" t="str">
        <f t="shared" si="0"/>
        <v/>
      </c>
      <c r="K42" t="str">
        <f t="shared" si="1"/>
        <v/>
      </c>
      <c r="L42" s="3" t="str">
        <f>_xlfn.IFNA(VLOOKUP($A42,'Cr4+'!$Y:$AB,2,FALSE),"")</f>
        <v/>
      </c>
      <c r="M42" s="3" t="str">
        <f>_xlfn.IFNA((VLOOKUP($A42,'Cr4+'!$Y:$AB,3,FALSE)),"")</f>
        <v/>
      </c>
      <c r="N42" s="3" t="str">
        <f>_xlfn.IFNA(VLOOKUP($A42,'Cr4+'!$Y:$AB,4,FALSE),"")</f>
        <v/>
      </c>
    </row>
    <row r="43" spans="1:14" x14ac:dyDescent="0.25">
      <c r="B43" t="str" cm="1">
        <f t="array" ref="B43">_xlfn.IFNA(INDEX(Data!$D$1:$D$865,MATCH(1,("1+"&amp;$A43=Data!$A$1:$A$865)*(1236=Data!$B$1:$B$865),0)),"")</f>
        <v/>
      </c>
      <c r="C43" t="str" cm="1">
        <f t="array" ref="C43">_xlfn.IFNA(INDEX(Data!$D$1:$D$865,MATCH(1,("1+"&amp;$A43=Data!$A$1:$A$865)*(1237=Data!$B$1:$B$865),0)),"")</f>
        <v/>
      </c>
      <c r="D43" t="str" cm="1">
        <f t="array" ref="D43">_xlfn.IFNA(INDEX(Data!$D$1:$D$865,MATCH(1,("2+"&amp;$A43=Data!$A$1:$A$865)*(1236=Data!$B$1:$B$865),0)),"")</f>
        <v/>
      </c>
      <c r="E43" t="str" cm="1">
        <f t="array" ref="E43">_xlfn.IFNA(INDEX(Data!$D$1:$D$865,MATCH(1,("2+"&amp;$A43=Data!$A$1:$A$865)*(1237=Data!$B$1:$B$865),0)),"")</f>
        <v/>
      </c>
      <c r="F43" t="str" cm="1">
        <f t="array" ref="F43">_xlfn.IFNA(INDEX(Data!$D$1:$D$865,MATCH(1,("1+"&amp;$A43=Data!$A$1:$A$865)*(905=Data!$B$1:$B$865),0)),"")</f>
        <v/>
      </c>
      <c r="G43" t="str" cm="1">
        <f t="array" ref="G43">_xlfn.IFNA(INDEX(Data!$D$1:$D$865,MATCH(1,("1+"&amp;$A43=Data!$A$1:$A$865)*(906=Data!$B$1:$B$865),0)),"")</f>
        <v/>
      </c>
      <c r="H43" t="str" cm="1">
        <f t="array" ref="H43">_xlfn.IFNA(INDEX(Data!$D$1:$D$865,MATCH(1,("2+"&amp;$A43=Data!$A$1:$A$865)*(905=Data!$B$1:$B$865),0)),"")</f>
        <v/>
      </c>
      <c r="I43" t="str" cm="1">
        <f t="array" ref="I43">_xlfn.IFNA(INDEX(Data!$D$1:$D$865,MATCH(1,("2+"&amp;$A43=Data!$A$1:$A$865)*(906=Data!$B$1:$B$865),0)),"")</f>
        <v/>
      </c>
      <c r="J43" t="str">
        <f t="shared" si="0"/>
        <v/>
      </c>
      <c r="K43" t="str">
        <f t="shared" si="1"/>
        <v/>
      </c>
      <c r="L43" s="3" t="str">
        <f>_xlfn.IFNA(VLOOKUP($A43,'Cr4+'!$Y:$AB,2,FALSE),"")</f>
        <v/>
      </c>
      <c r="M43" s="3" t="str">
        <f>_xlfn.IFNA((VLOOKUP($A43,'Cr4+'!$Y:$AB,3,FALSE)),"")</f>
        <v/>
      </c>
      <c r="N43" s="3" t="str">
        <f>_xlfn.IFNA(VLOOKUP($A43,'Cr4+'!$Y:$AB,4,FALSE),"")</f>
        <v/>
      </c>
    </row>
    <row r="44" spans="1:14" x14ac:dyDescent="0.25">
      <c r="B44" t="str" cm="1">
        <f t="array" ref="B44">_xlfn.IFNA(INDEX(Data!$D$1:$D$865,MATCH(1,("1+"&amp;$A44=Data!$A$1:$A$865)*(1236=Data!$B$1:$B$865),0)),"")</f>
        <v/>
      </c>
      <c r="C44" t="str" cm="1">
        <f t="array" ref="C44">_xlfn.IFNA(INDEX(Data!$D$1:$D$865,MATCH(1,("1+"&amp;$A44=Data!$A$1:$A$865)*(1237=Data!$B$1:$B$865),0)),"")</f>
        <v/>
      </c>
      <c r="D44" t="str" cm="1">
        <f t="array" ref="D44">_xlfn.IFNA(INDEX(Data!$D$1:$D$865,MATCH(1,("2+"&amp;$A44=Data!$A$1:$A$865)*(1236=Data!$B$1:$B$865),0)),"")</f>
        <v/>
      </c>
      <c r="E44" t="str" cm="1">
        <f t="array" ref="E44">_xlfn.IFNA(INDEX(Data!$D$1:$D$865,MATCH(1,("2+"&amp;$A44=Data!$A$1:$A$865)*(1237=Data!$B$1:$B$865),0)),"")</f>
        <v/>
      </c>
      <c r="F44" t="str" cm="1">
        <f t="array" ref="F44">_xlfn.IFNA(INDEX(Data!$D$1:$D$865,MATCH(1,("1+"&amp;$A44=Data!$A$1:$A$865)*(905=Data!$B$1:$B$865),0)),"")</f>
        <v/>
      </c>
      <c r="G44" t="str" cm="1">
        <f t="array" ref="G44">_xlfn.IFNA(INDEX(Data!$D$1:$D$865,MATCH(1,("1+"&amp;$A44=Data!$A$1:$A$865)*(906=Data!$B$1:$B$865),0)),"")</f>
        <v/>
      </c>
      <c r="H44" t="str" cm="1">
        <f t="array" ref="H44">_xlfn.IFNA(INDEX(Data!$D$1:$D$865,MATCH(1,("2+"&amp;$A44=Data!$A$1:$A$865)*(905=Data!$B$1:$B$865),0)),"")</f>
        <v/>
      </c>
      <c r="I44" t="str" cm="1">
        <f t="array" ref="I44">_xlfn.IFNA(INDEX(Data!$D$1:$D$865,MATCH(1,("2+"&amp;$A44=Data!$A$1:$A$865)*(906=Data!$B$1:$B$865),0)),"")</f>
        <v/>
      </c>
      <c r="J44" t="str">
        <f t="shared" si="0"/>
        <v/>
      </c>
      <c r="K44" t="str">
        <f t="shared" si="1"/>
        <v/>
      </c>
      <c r="L44" s="3" t="str">
        <f>_xlfn.IFNA(VLOOKUP($A44,'Cr4+'!$Y:$AB,2,FALSE),"")</f>
        <v/>
      </c>
      <c r="M44" s="3" t="str">
        <f>_xlfn.IFNA((VLOOKUP($A44,'Cr4+'!$Y:$AB,3,FALSE)),"")</f>
        <v/>
      </c>
      <c r="N44" s="3" t="str">
        <f>_xlfn.IFNA(VLOOKUP($A44,'Cr4+'!$Y:$AB,4,FALSE),"")</f>
        <v/>
      </c>
    </row>
    <row r="45" spans="1:14" x14ac:dyDescent="0.25">
      <c r="B45" t="str" cm="1">
        <f t="array" ref="B45">_xlfn.IFNA(INDEX(Data!$D$1:$D$865,MATCH(1,("1+"&amp;$A45=Data!$A$1:$A$865)*(1236=Data!$B$1:$B$865),0)),"")</f>
        <v/>
      </c>
      <c r="C45" t="str" cm="1">
        <f t="array" ref="C45">_xlfn.IFNA(INDEX(Data!$D$1:$D$865,MATCH(1,("1+"&amp;$A45=Data!$A$1:$A$865)*(1237=Data!$B$1:$B$865),0)),"")</f>
        <v/>
      </c>
      <c r="D45" t="str" cm="1">
        <f t="array" ref="D45">_xlfn.IFNA(INDEX(Data!$D$1:$D$865,MATCH(1,("2+"&amp;$A45=Data!$A$1:$A$865)*(1236=Data!$B$1:$B$865),0)),"")</f>
        <v/>
      </c>
      <c r="E45" t="str" cm="1">
        <f t="array" ref="E45">_xlfn.IFNA(INDEX(Data!$D$1:$D$865,MATCH(1,("2+"&amp;$A45=Data!$A$1:$A$865)*(1237=Data!$B$1:$B$865),0)),"")</f>
        <v/>
      </c>
      <c r="F45" t="str" cm="1">
        <f t="array" ref="F45">_xlfn.IFNA(INDEX(Data!$D$1:$D$865,MATCH(1,("1+"&amp;$A45=Data!$A$1:$A$865)*(905=Data!$B$1:$B$865),0)),"")</f>
        <v/>
      </c>
      <c r="G45" t="str" cm="1">
        <f t="array" ref="G45">_xlfn.IFNA(INDEX(Data!$D$1:$D$865,MATCH(1,("1+"&amp;$A45=Data!$A$1:$A$865)*(906=Data!$B$1:$B$865),0)),"")</f>
        <v/>
      </c>
      <c r="H45" t="str" cm="1">
        <f t="array" ref="H45">_xlfn.IFNA(INDEX(Data!$D$1:$D$865,MATCH(1,("2+"&amp;$A45=Data!$A$1:$A$865)*(905=Data!$B$1:$B$865),0)),"")</f>
        <v/>
      </c>
      <c r="I45" t="str" cm="1">
        <f t="array" ref="I45">_xlfn.IFNA(INDEX(Data!$D$1:$D$865,MATCH(1,("2+"&amp;$A45=Data!$A$1:$A$865)*(906=Data!$B$1:$B$865),0)),"")</f>
        <v/>
      </c>
      <c r="J45" t="str">
        <f t="shared" si="0"/>
        <v/>
      </c>
      <c r="K45" t="str">
        <f t="shared" si="1"/>
        <v/>
      </c>
      <c r="L45" s="3" t="str">
        <f>_xlfn.IFNA(VLOOKUP($A45,'Cr4+'!$Y:$AB,2,FALSE),"")</f>
        <v/>
      </c>
      <c r="M45" s="3" t="str">
        <f>_xlfn.IFNA((VLOOKUP($A45,'Cr4+'!$Y:$AB,3,FALSE)),"")</f>
        <v/>
      </c>
      <c r="N45" s="3" t="str">
        <f>_xlfn.IFNA(VLOOKUP($A45,'Cr4+'!$Y:$AB,4,FALSE),"")</f>
        <v/>
      </c>
    </row>
    <row r="46" spans="1:14" x14ac:dyDescent="0.25">
      <c r="B46" t="str" cm="1">
        <f t="array" ref="B46">_xlfn.IFNA(INDEX(Data!$D$1:$D$865,MATCH(1,("1+"&amp;$A46=Data!$A$1:$A$865)*(1236=Data!$B$1:$B$865),0)),"")</f>
        <v/>
      </c>
      <c r="C46" t="str" cm="1">
        <f t="array" ref="C46">_xlfn.IFNA(INDEX(Data!$D$1:$D$865,MATCH(1,("1+"&amp;$A46=Data!$A$1:$A$865)*(1237=Data!$B$1:$B$865),0)),"")</f>
        <v/>
      </c>
      <c r="D46" t="str" cm="1">
        <f t="array" ref="D46">_xlfn.IFNA(INDEX(Data!$D$1:$D$865,MATCH(1,("2+"&amp;$A46=Data!$A$1:$A$865)*(1236=Data!$B$1:$B$865),0)),"")</f>
        <v/>
      </c>
      <c r="E46" t="str" cm="1">
        <f t="array" ref="E46">_xlfn.IFNA(INDEX(Data!$D$1:$D$865,MATCH(1,("2+"&amp;$A46=Data!$A$1:$A$865)*(1237=Data!$B$1:$B$865),0)),"")</f>
        <v/>
      </c>
      <c r="F46" t="str" cm="1">
        <f t="array" ref="F46">_xlfn.IFNA(INDEX(Data!$D$1:$D$865,MATCH(1,("1+"&amp;$A46=Data!$A$1:$A$865)*(905=Data!$B$1:$B$865),0)),"")</f>
        <v/>
      </c>
      <c r="G46" t="str" cm="1">
        <f t="array" ref="G46">_xlfn.IFNA(INDEX(Data!$D$1:$D$865,MATCH(1,("1+"&amp;$A46=Data!$A$1:$A$865)*(906=Data!$B$1:$B$865),0)),"")</f>
        <v/>
      </c>
      <c r="H46" t="str" cm="1">
        <f t="array" ref="H46">_xlfn.IFNA(INDEX(Data!$D$1:$D$865,MATCH(1,("2+"&amp;$A46=Data!$A$1:$A$865)*(905=Data!$B$1:$B$865),0)),"")</f>
        <v/>
      </c>
      <c r="I46" t="str" cm="1">
        <f t="array" ref="I46">_xlfn.IFNA(INDEX(Data!$D$1:$D$865,MATCH(1,("2+"&amp;$A46=Data!$A$1:$A$865)*(906=Data!$B$1:$B$865),0)),"")</f>
        <v/>
      </c>
      <c r="J46" t="str">
        <f t="shared" si="0"/>
        <v/>
      </c>
      <c r="K46" t="str">
        <f t="shared" si="1"/>
        <v/>
      </c>
      <c r="L46" s="3" t="str">
        <f>_xlfn.IFNA(VLOOKUP($A46,'Cr4+'!$Y:$AB,2,FALSE),"")</f>
        <v/>
      </c>
      <c r="M46" s="3" t="str">
        <f>_xlfn.IFNA((VLOOKUP($A46,'Cr4+'!$Y:$AB,3,FALSE)),"")</f>
        <v/>
      </c>
      <c r="N46" s="3" t="str">
        <f>_xlfn.IFNA(VLOOKUP($A46,'Cr4+'!$Y:$AB,4,FALSE),"")</f>
        <v/>
      </c>
    </row>
    <row r="47" spans="1:14" x14ac:dyDescent="0.25">
      <c r="B47" t="str" cm="1">
        <f t="array" ref="B47">_xlfn.IFNA(INDEX(Data!$D$1:$D$865,MATCH(1,("1+"&amp;$A47=Data!$A$1:$A$865)*(1236=Data!$B$1:$B$865),0)),"")</f>
        <v/>
      </c>
      <c r="C47" t="str" cm="1">
        <f t="array" ref="C47">_xlfn.IFNA(INDEX(Data!$D$1:$D$865,MATCH(1,("1+"&amp;$A47=Data!$A$1:$A$865)*(1237=Data!$B$1:$B$865),0)),"")</f>
        <v/>
      </c>
      <c r="D47" t="str" cm="1">
        <f t="array" ref="D47">_xlfn.IFNA(INDEX(Data!$D$1:$D$865,MATCH(1,("2+"&amp;$A47=Data!$A$1:$A$865)*(1236=Data!$B$1:$B$865),0)),"")</f>
        <v/>
      </c>
      <c r="E47" t="str" cm="1">
        <f t="array" ref="E47">_xlfn.IFNA(INDEX(Data!$D$1:$D$865,MATCH(1,("2+"&amp;$A47=Data!$A$1:$A$865)*(1237=Data!$B$1:$B$865),0)),"")</f>
        <v/>
      </c>
      <c r="F47" t="str" cm="1">
        <f t="array" ref="F47">_xlfn.IFNA(INDEX(Data!$D$1:$D$865,MATCH(1,("1+"&amp;$A47=Data!$A$1:$A$865)*(905=Data!$B$1:$B$865),0)),"")</f>
        <v/>
      </c>
      <c r="G47" t="str" cm="1">
        <f t="array" ref="G47">_xlfn.IFNA(INDEX(Data!$D$1:$D$865,MATCH(1,("1+"&amp;$A47=Data!$A$1:$A$865)*(906=Data!$B$1:$B$865),0)),"")</f>
        <v/>
      </c>
      <c r="H47" t="str" cm="1">
        <f t="array" ref="H47">_xlfn.IFNA(INDEX(Data!$D$1:$D$865,MATCH(1,("2+"&amp;$A47=Data!$A$1:$A$865)*(905=Data!$B$1:$B$865),0)),"")</f>
        <v/>
      </c>
      <c r="I47" t="str" cm="1">
        <f t="array" ref="I47">_xlfn.IFNA(INDEX(Data!$D$1:$D$865,MATCH(1,("2+"&amp;$A47=Data!$A$1:$A$865)*(906=Data!$B$1:$B$865),0)),"")</f>
        <v/>
      </c>
      <c r="J47" t="str">
        <f t="shared" si="0"/>
        <v/>
      </c>
      <c r="K47" t="str">
        <f t="shared" si="1"/>
        <v/>
      </c>
      <c r="L47" s="3" t="str">
        <f>_xlfn.IFNA(VLOOKUP($A47,'Cr4+'!$Y:$AB,2,FALSE),"")</f>
        <v/>
      </c>
      <c r="M47" s="3" t="str">
        <f>_xlfn.IFNA((VLOOKUP($A47,'Cr4+'!$Y:$AB,3,FALSE)),"")</f>
        <v/>
      </c>
      <c r="N47" s="3" t="str">
        <f>_xlfn.IFNA(VLOOKUP($A47,'Cr4+'!$Y:$AB,4,FALSE),"")</f>
        <v/>
      </c>
    </row>
    <row r="48" spans="1:14" x14ac:dyDescent="0.25">
      <c r="B48" t="str" cm="1">
        <f t="array" ref="B48">_xlfn.IFNA(INDEX(Data!$D$1:$D$865,MATCH(1,("1+"&amp;$A48=Data!$A$1:$A$865)*(1236=Data!$B$1:$B$865),0)),"")</f>
        <v/>
      </c>
      <c r="C48" t="str" cm="1">
        <f t="array" ref="C48">_xlfn.IFNA(INDEX(Data!$D$1:$D$865,MATCH(1,("1+"&amp;$A48=Data!$A$1:$A$865)*(1237=Data!$B$1:$B$865),0)),"")</f>
        <v/>
      </c>
      <c r="D48" t="str" cm="1">
        <f t="array" ref="D48">_xlfn.IFNA(INDEX(Data!$D$1:$D$865,MATCH(1,("2+"&amp;$A48=Data!$A$1:$A$865)*(1236=Data!$B$1:$B$865),0)),"")</f>
        <v/>
      </c>
      <c r="E48" t="str" cm="1">
        <f t="array" ref="E48">_xlfn.IFNA(INDEX(Data!$D$1:$D$865,MATCH(1,("2+"&amp;$A48=Data!$A$1:$A$865)*(1237=Data!$B$1:$B$865),0)),"")</f>
        <v/>
      </c>
      <c r="F48" t="str" cm="1">
        <f t="array" ref="F48">_xlfn.IFNA(INDEX(Data!$D$1:$D$865,MATCH(1,("1+"&amp;$A48=Data!$A$1:$A$865)*(905=Data!$B$1:$B$865),0)),"")</f>
        <v/>
      </c>
      <c r="G48" t="str" cm="1">
        <f t="array" ref="G48">_xlfn.IFNA(INDEX(Data!$D$1:$D$865,MATCH(1,("1+"&amp;$A48=Data!$A$1:$A$865)*(906=Data!$B$1:$B$865),0)),"")</f>
        <v/>
      </c>
      <c r="H48" t="str" cm="1">
        <f t="array" ref="H48">_xlfn.IFNA(INDEX(Data!$D$1:$D$865,MATCH(1,("2+"&amp;$A48=Data!$A$1:$A$865)*(905=Data!$B$1:$B$865),0)),"")</f>
        <v/>
      </c>
      <c r="I48" t="str" cm="1">
        <f t="array" ref="I48">_xlfn.IFNA(INDEX(Data!$D$1:$D$865,MATCH(1,("2+"&amp;$A48=Data!$A$1:$A$865)*(906=Data!$B$1:$B$865),0)),"")</f>
        <v/>
      </c>
      <c r="J48" t="str">
        <f t="shared" si="0"/>
        <v/>
      </c>
      <c r="K48" t="str">
        <f t="shared" si="1"/>
        <v/>
      </c>
      <c r="L48" s="3" t="str">
        <f>_xlfn.IFNA(VLOOKUP($A48,'Cr4+'!$Y:$AB,2,FALSE),"")</f>
        <v/>
      </c>
      <c r="M48" s="3" t="str">
        <f>_xlfn.IFNA((VLOOKUP($A48,'Cr4+'!$Y:$AB,3,FALSE)),"")</f>
        <v/>
      </c>
      <c r="N48" s="3" t="str">
        <f>_xlfn.IFNA(VLOOKUP($A48,'Cr4+'!$Y:$AB,4,FALSE),"")</f>
        <v/>
      </c>
    </row>
    <row r="49" spans="2:14" x14ac:dyDescent="0.25">
      <c r="B49" t="str" cm="1">
        <f t="array" ref="B49">_xlfn.IFNA(INDEX(Data!$D$1:$D$865,MATCH(1,("1+"&amp;$A49=Data!$A$1:$A$865)*(1236=Data!$B$1:$B$865),0)),"")</f>
        <v/>
      </c>
      <c r="C49" t="str" cm="1">
        <f t="array" ref="C49">_xlfn.IFNA(INDEX(Data!$D$1:$D$865,MATCH(1,("1+"&amp;$A49=Data!$A$1:$A$865)*(1237=Data!$B$1:$B$865),0)),"")</f>
        <v/>
      </c>
      <c r="D49" t="str" cm="1">
        <f t="array" ref="D49">_xlfn.IFNA(INDEX(Data!$D$1:$D$865,MATCH(1,("2+"&amp;$A49=Data!$A$1:$A$865)*(1236=Data!$B$1:$B$865),0)),"")</f>
        <v/>
      </c>
      <c r="E49" t="str" cm="1">
        <f t="array" ref="E49">_xlfn.IFNA(INDEX(Data!$D$1:$D$865,MATCH(1,("2+"&amp;$A49=Data!$A$1:$A$865)*(1237=Data!$B$1:$B$865),0)),"")</f>
        <v/>
      </c>
      <c r="F49" t="str" cm="1">
        <f t="array" ref="F49">_xlfn.IFNA(INDEX(Data!$D$1:$D$865,MATCH(1,("1+"&amp;$A49=Data!$A$1:$A$865)*(905=Data!$B$1:$B$865),0)),"")</f>
        <v/>
      </c>
      <c r="G49" t="str" cm="1">
        <f t="array" ref="G49">_xlfn.IFNA(INDEX(Data!$D$1:$D$865,MATCH(1,("1+"&amp;$A49=Data!$A$1:$A$865)*(906=Data!$B$1:$B$865),0)),"")</f>
        <v/>
      </c>
      <c r="H49" t="str" cm="1">
        <f t="array" ref="H49">_xlfn.IFNA(INDEX(Data!$D$1:$D$865,MATCH(1,("2+"&amp;$A49=Data!$A$1:$A$865)*(905=Data!$B$1:$B$865),0)),"")</f>
        <v/>
      </c>
      <c r="I49" t="str" cm="1">
        <f t="array" ref="I49">_xlfn.IFNA(INDEX(Data!$D$1:$D$865,MATCH(1,("2+"&amp;$A49=Data!$A$1:$A$865)*(906=Data!$B$1:$B$865),0)),"")</f>
        <v/>
      </c>
      <c r="J49" t="str">
        <f t="shared" si="0"/>
        <v/>
      </c>
      <c r="K49" t="str">
        <f t="shared" si="1"/>
        <v/>
      </c>
      <c r="L49" s="3" t="str">
        <f>_xlfn.IFNA(VLOOKUP($A49,'Cr4+'!$Y:$AB,2,FALSE),"")</f>
        <v/>
      </c>
      <c r="M49" s="3" t="str">
        <f>_xlfn.IFNA((VLOOKUP($A49,'Cr4+'!$Y:$AB,3,FALSE)),"")</f>
        <v/>
      </c>
      <c r="N49" s="3" t="str">
        <f>_xlfn.IFNA(VLOOKUP($A49,'Cr4+'!$Y:$AB,4,FALSE),"")</f>
        <v/>
      </c>
    </row>
    <row r="50" spans="2:14" x14ac:dyDescent="0.25">
      <c r="B50" t="str" cm="1">
        <f t="array" ref="B50">_xlfn.IFNA(INDEX(Data!$D$1:$D$865,MATCH(1,("1+"&amp;$A50=Data!$A$1:$A$865)*(1236=Data!$B$1:$B$865),0)),"")</f>
        <v/>
      </c>
      <c r="C50" t="str" cm="1">
        <f t="array" ref="C50">_xlfn.IFNA(INDEX(Data!$D$1:$D$865,MATCH(1,("1+"&amp;$A50=Data!$A$1:$A$865)*(1237=Data!$B$1:$B$865),0)),"")</f>
        <v/>
      </c>
      <c r="D50" t="str" cm="1">
        <f t="array" ref="D50">_xlfn.IFNA(INDEX(Data!$D$1:$D$865,MATCH(1,("2+"&amp;$A50=Data!$A$1:$A$865)*(1236=Data!$B$1:$B$865),0)),"")</f>
        <v/>
      </c>
      <c r="E50" t="str" cm="1">
        <f t="array" ref="E50">_xlfn.IFNA(INDEX(Data!$D$1:$D$865,MATCH(1,("2+"&amp;$A50=Data!$A$1:$A$865)*(1237=Data!$B$1:$B$865),0)),"")</f>
        <v/>
      </c>
      <c r="F50" t="str" cm="1">
        <f t="array" ref="F50">_xlfn.IFNA(INDEX(Data!$D$1:$D$865,MATCH(1,("1+"&amp;$A50=Data!$A$1:$A$865)*(905=Data!$B$1:$B$865),0)),"")</f>
        <v/>
      </c>
      <c r="G50" t="str" cm="1">
        <f t="array" ref="G50">_xlfn.IFNA(INDEX(Data!$D$1:$D$865,MATCH(1,("1+"&amp;$A50=Data!$A$1:$A$865)*(906=Data!$B$1:$B$865),0)),"")</f>
        <v/>
      </c>
      <c r="H50" t="str" cm="1">
        <f t="array" ref="H50">_xlfn.IFNA(INDEX(Data!$D$1:$D$865,MATCH(1,("2+"&amp;$A50=Data!$A$1:$A$865)*(905=Data!$B$1:$B$865),0)),"")</f>
        <v/>
      </c>
      <c r="I50" t="str" cm="1">
        <f t="array" ref="I50">_xlfn.IFNA(INDEX(Data!$D$1:$D$865,MATCH(1,("2+"&amp;$A50=Data!$A$1:$A$865)*(906=Data!$B$1:$B$865),0)),"")</f>
        <v/>
      </c>
      <c r="J50" t="str">
        <f t="shared" si="0"/>
        <v/>
      </c>
      <c r="K50" t="str">
        <f t="shared" si="1"/>
        <v/>
      </c>
      <c r="L50" s="3" t="str">
        <f>_xlfn.IFNA(VLOOKUP($A50,'Cr4+'!$Y:$AB,2,FALSE),"")</f>
        <v/>
      </c>
      <c r="M50" s="3" t="str">
        <f>_xlfn.IFNA((VLOOKUP($A50,'Cr4+'!$Y:$AB,3,FALSE)),"")</f>
        <v/>
      </c>
      <c r="N50" s="3" t="str">
        <f>_xlfn.IFNA(VLOOKUP($A50,'Cr4+'!$Y:$AB,4,FALSE),"")</f>
        <v/>
      </c>
    </row>
    <row r="51" spans="2:14" x14ac:dyDescent="0.25">
      <c r="B51" t="str" cm="1">
        <f t="array" ref="B51">_xlfn.IFNA(INDEX(Data!$D$1:$D$865,MATCH(1,("1+"&amp;$A51=Data!$A$1:$A$865)*(1236=Data!$B$1:$B$865),0)),"")</f>
        <v/>
      </c>
      <c r="C51" t="str" cm="1">
        <f t="array" ref="C51">_xlfn.IFNA(INDEX(Data!$D$1:$D$865,MATCH(1,("1+"&amp;$A51=Data!$A$1:$A$865)*(1237=Data!$B$1:$B$865),0)),"")</f>
        <v/>
      </c>
      <c r="D51" t="str" cm="1">
        <f t="array" ref="D51">_xlfn.IFNA(INDEX(Data!$D$1:$D$865,MATCH(1,("2+"&amp;$A51=Data!$A$1:$A$865)*(1236=Data!$B$1:$B$865),0)),"")</f>
        <v/>
      </c>
      <c r="E51" t="str" cm="1">
        <f t="array" ref="E51">_xlfn.IFNA(INDEX(Data!$D$1:$D$865,MATCH(1,("2+"&amp;$A51=Data!$A$1:$A$865)*(1237=Data!$B$1:$B$865),0)),"")</f>
        <v/>
      </c>
      <c r="F51" t="str" cm="1">
        <f t="array" ref="F51">_xlfn.IFNA(INDEX(Data!$D$1:$D$865,MATCH(1,("1+"&amp;$A51=Data!$A$1:$A$865)*(905=Data!$B$1:$B$865),0)),"")</f>
        <v/>
      </c>
      <c r="G51" t="str" cm="1">
        <f t="array" ref="G51">_xlfn.IFNA(INDEX(Data!$D$1:$D$865,MATCH(1,("1+"&amp;$A51=Data!$A$1:$A$865)*(906=Data!$B$1:$B$865),0)),"")</f>
        <v/>
      </c>
      <c r="H51" t="str" cm="1">
        <f t="array" ref="H51">_xlfn.IFNA(INDEX(Data!$D$1:$D$865,MATCH(1,("2+"&amp;$A51=Data!$A$1:$A$865)*(905=Data!$B$1:$B$865),0)),"")</f>
        <v/>
      </c>
      <c r="I51" t="str" cm="1">
        <f t="array" ref="I51">_xlfn.IFNA(INDEX(Data!$D$1:$D$865,MATCH(1,("2+"&amp;$A51=Data!$A$1:$A$865)*(906=Data!$B$1:$B$865),0)),"")</f>
        <v/>
      </c>
      <c r="J51" t="str">
        <f t="shared" si="0"/>
        <v/>
      </c>
      <c r="K51" t="str">
        <f t="shared" si="1"/>
        <v/>
      </c>
      <c r="L51" s="3" t="str">
        <f>_xlfn.IFNA(VLOOKUP($A51,'Cr4+'!$Y:$AB,2,FALSE),"")</f>
        <v/>
      </c>
      <c r="M51" s="3" t="str">
        <f>_xlfn.IFNA((VLOOKUP($A51,'Cr4+'!$Y:$AB,3,FALSE)),"")</f>
        <v/>
      </c>
      <c r="N51" s="3" t="str">
        <f>_xlfn.IFNA(VLOOKUP($A51,'Cr4+'!$Y:$AB,4,FALSE),"")</f>
        <v/>
      </c>
    </row>
    <row r="52" spans="2:14" x14ac:dyDescent="0.25">
      <c r="B52" t="str" cm="1">
        <f t="array" ref="B52">_xlfn.IFNA(INDEX(Data!$D$1:$D$865,MATCH(1,("1+"&amp;$A52=Data!$A$1:$A$865)*(1236=Data!$B$1:$B$865),0)),"")</f>
        <v/>
      </c>
      <c r="C52" t="str" cm="1">
        <f t="array" ref="C52">_xlfn.IFNA(INDEX(Data!$D$1:$D$865,MATCH(1,("1+"&amp;$A52=Data!$A$1:$A$865)*(1237=Data!$B$1:$B$865),0)),"")</f>
        <v/>
      </c>
      <c r="D52" t="str" cm="1">
        <f t="array" ref="D52">_xlfn.IFNA(INDEX(Data!$D$1:$D$865,MATCH(1,("2+"&amp;$A52=Data!$A$1:$A$865)*(1236=Data!$B$1:$B$865),0)),"")</f>
        <v/>
      </c>
      <c r="E52" t="str" cm="1">
        <f t="array" ref="E52">_xlfn.IFNA(INDEX(Data!$D$1:$D$865,MATCH(1,("2+"&amp;$A52=Data!$A$1:$A$865)*(1237=Data!$B$1:$B$865),0)),"")</f>
        <v/>
      </c>
      <c r="F52" t="str" cm="1">
        <f t="array" ref="F52">_xlfn.IFNA(INDEX(Data!$D$1:$D$865,MATCH(1,("1+"&amp;$A52=Data!$A$1:$A$865)*(905=Data!$B$1:$B$865),0)),"")</f>
        <v/>
      </c>
      <c r="G52" t="str" cm="1">
        <f t="array" ref="G52">_xlfn.IFNA(INDEX(Data!$D$1:$D$865,MATCH(1,("1+"&amp;$A52=Data!$A$1:$A$865)*(906=Data!$B$1:$B$865),0)),"")</f>
        <v/>
      </c>
      <c r="H52" t="str" cm="1">
        <f t="array" ref="H52">_xlfn.IFNA(INDEX(Data!$D$1:$D$865,MATCH(1,("2+"&amp;$A52=Data!$A$1:$A$865)*(905=Data!$B$1:$B$865),0)),"")</f>
        <v/>
      </c>
      <c r="I52" t="str" cm="1">
        <f t="array" ref="I52">_xlfn.IFNA(INDEX(Data!$D$1:$D$865,MATCH(1,("2+"&amp;$A52=Data!$A$1:$A$865)*(906=Data!$B$1:$B$865),0)),"")</f>
        <v/>
      </c>
      <c r="J52" t="str">
        <f t="shared" si="0"/>
        <v/>
      </c>
      <c r="K52" t="str">
        <f t="shared" si="1"/>
        <v/>
      </c>
      <c r="L52" s="3" t="str">
        <f>_xlfn.IFNA(VLOOKUP($A52,'Cr4+'!$Y:$AB,2,FALSE),"")</f>
        <v/>
      </c>
      <c r="M52" s="3" t="str">
        <f>_xlfn.IFNA((VLOOKUP($A52,'Cr4+'!$Y:$AB,3,FALSE)),"")</f>
        <v/>
      </c>
      <c r="N52" s="3" t="str">
        <f>_xlfn.IFNA(VLOOKUP($A52,'Cr4+'!$Y:$AB,4,FALSE),"")</f>
        <v/>
      </c>
    </row>
    <row r="53" spans="2:14" x14ac:dyDescent="0.25">
      <c r="B53" t="str" cm="1">
        <f t="array" ref="B53">_xlfn.IFNA(INDEX(Data!$D$1:$D$865,MATCH(1,("1+"&amp;$A53=Data!$A$1:$A$865)*(1236=Data!$B$1:$B$865),0)),"")</f>
        <v/>
      </c>
      <c r="C53" t="str" cm="1">
        <f t="array" ref="C53">_xlfn.IFNA(INDEX(Data!$D$1:$D$865,MATCH(1,("1+"&amp;$A53=Data!$A$1:$A$865)*(1237=Data!$B$1:$B$865),0)),"")</f>
        <v/>
      </c>
      <c r="D53" t="str" cm="1">
        <f t="array" ref="D53">_xlfn.IFNA(INDEX(Data!$D$1:$D$865,MATCH(1,("2+"&amp;$A53=Data!$A$1:$A$865)*(1236=Data!$B$1:$B$865),0)),"")</f>
        <v/>
      </c>
      <c r="E53" t="str" cm="1">
        <f t="array" ref="E53">_xlfn.IFNA(INDEX(Data!$D$1:$D$865,MATCH(1,("2+"&amp;$A53=Data!$A$1:$A$865)*(1237=Data!$B$1:$B$865),0)),"")</f>
        <v/>
      </c>
      <c r="F53" t="str" cm="1">
        <f t="array" ref="F53">_xlfn.IFNA(INDEX(Data!$D$1:$D$865,MATCH(1,("1+"&amp;$A53=Data!$A$1:$A$865)*(905=Data!$B$1:$B$865),0)),"")</f>
        <v/>
      </c>
      <c r="G53" t="str" cm="1">
        <f t="array" ref="G53">_xlfn.IFNA(INDEX(Data!$D$1:$D$865,MATCH(1,("1+"&amp;$A53=Data!$A$1:$A$865)*(906=Data!$B$1:$B$865),0)),"")</f>
        <v/>
      </c>
      <c r="H53" t="str" cm="1">
        <f t="array" ref="H53">_xlfn.IFNA(INDEX(Data!$D$1:$D$865,MATCH(1,("2+"&amp;$A53=Data!$A$1:$A$865)*(905=Data!$B$1:$B$865),0)),"")</f>
        <v/>
      </c>
      <c r="I53" t="str" cm="1">
        <f t="array" ref="I53">_xlfn.IFNA(INDEX(Data!$D$1:$D$865,MATCH(1,("2+"&amp;$A53=Data!$A$1:$A$865)*(906=Data!$B$1:$B$865),0)),"")</f>
        <v/>
      </c>
      <c r="J53" t="str">
        <f t="shared" si="0"/>
        <v/>
      </c>
      <c r="K53" t="str">
        <f t="shared" si="1"/>
        <v/>
      </c>
      <c r="L53" s="3" t="str">
        <f>_xlfn.IFNA(VLOOKUP($A53,'Cr4+'!$Y:$AB,2,FALSE),"")</f>
        <v/>
      </c>
      <c r="M53" s="3" t="str">
        <f>_xlfn.IFNA((VLOOKUP($A53,'Cr4+'!$Y:$AB,3,FALSE)),"")</f>
        <v/>
      </c>
      <c r="N53" s="3" t="str">
        <f>_xlfn.IFNA(VLOOKUP($A53,'Cr4+'!$Y:$AB,4,FALSE),"")</f>
        <v/>
      </c>
    </row>
    <row r="54" spans="2:14" x14ac:dyDescent="0.25">
      <c r="B54" t="str" cm="1">
        <f t="array" ref="B54">_xlfn.IFNA(INDEX(Data!$D$1:$D$865,MATCH(1,("1+"&amp;$A54=Data!$A$1:$A$865)*(1236=Data!$B$1:$B$865),0)),"")</f>
        <v/>
      </c>
      <c r="C54" t="str" cm="1">
        <f t="array" ref="C54">_xlfn.IFNA(INDEX(Data!$D$1:$D$865,MATCH(1,("1+"&amp;$A54=Data!$A$1:$A$865)*(1237=Data!$B$1:$B$865),0)),"")</f>
        <v/>
      </c>
      <c r="D54" t="str" cm="1">
        <f t="array" ref="D54">_xlfn.IFNA(INDEX(Data!$D$1:$D$865,MATCH(1,("2+"&amp;$A54=Data!$A$1:$A$865)*(1236=Data!$B$1:$B$865),0)),"")</f>
        <v/>
      </c>
      <c r="E54" t="str" cm="1">
        <f t="array" ref="E54">_xlfn.IFNA(INDEX(Data!$D$1:$D$865,MATCH(1,("2+"&amp;$A54=Data!$A$1:$A$865)*(1237=Data!$B$1:$B$865),0)),"")</f>
        <v/>
      </c>
      <c r="F54" t="str" cm="1">
        <f t="array" ref="F54">_xlfn.IFNA(INDEX(Data!$D$1:$D$865,MATCH(1,("1+"&amp;$A54=Data!$A$1:$A$865)*(905=Data!$B$1:$B$865),0)),"")</f>
        <v/>
      </c>
      <c r="G54" t="str" cm="1">
        <f t="array" ref="G54">_xlfn.IFNA(INDEX(Data!$D$1:$D$865,MATCH(1,("1+"&amp;$A54=Data!$A$1:$A$865)*(906=Data!$B$1:$B$865),0)),"")</f>
        <v/>
      </c>
      <c r="H54" t="str" cm="1">
        <f t="array" ref="H54">_xlfn.IFNA(INDEX(Data!$D$1:$D$865,MATCH(1,("2+"&amp;$A54=Data!$A$1:$A$865)*(905=Data!$B$1:$B$865),0)),"")</f>
        <v/>
      </c>
      <c r="I54" t="str" cm="1">
        <f t="array" ref="I54">_xlfn.IFNA(INDEX(Data!$D$1:$D$865,MATCH(1,("2+"&amp;$A54=Data!$A$1:$A$865)*(906=Data!$B$1:$B$865),0)),"")</f>
        <v/>
      </c>
      <c r="J54" t="str">
        <f t="shared" si="0"/>
        <v/>
      </c>
      <c r="K54" t="str">
        <f t="shared" si="1"/>
        <v/>
      </c>
      <c r="L54" s="3" t="str">
        <f>_xlfn.IFNA(VLOOKUP($A54,'Cr4+'!$Y:$AB,2,FALSE),"")</f>
        <v/>
      </c>
      <c r="M54" s="3" t="str">
        <f>_xlfn.IFNA((VLOOKUP($A54,'Cr4+'!$Y:$AB,3,FALSE)),"")</f>
        <v/>
      </c>
      <c r="N54" s="3" t="str">
        <f>_xlfn.IFNA(VLOOKUP($A54,'Cr4+'!$Y:$AB,4,FALSE),"")</f>
        <v/>
      </c>
    </row>
    <row r="55" spans="2:14" x14ac:dyDescent="0.25">
      <c r="B55" t="str" cm="1">
        <f t="array" ref="B55">_xlfn.IFNA(INDEX(Data!$D$1:$D$865,MATCH(1,("1+"&amp;$A55=Data!$A$1:$A$865)*(1236=Data!$B$1:$B$865),0)),"")</f>
        <v/>
      </c>
      <c r="C55" t="str" cm="1">
        <f t="array" ref="C55">_xlfn.IFNA(INDEX(Data!$D$1:$D$865,MATCH(1,("1+"&amp;$A55=Data!$A$1:$A$865)*(1237=Data!$B$1:$B$865),0)),"")</f>
        <v/>
      </c>
      <c r="D55" t="str" cm="1">
        <f t="array" ref="D55">_xlfn.IFNA(INDEX(Data!$D$1:$D$865,MATCH(1,("2+"&amp;$A55=Data!$A$1:$A$865)*(1236=Data!$B$1:$B$865),0)),"")</f>
        <v/>
      </c>
      <c r="E55" t="str" cm="1">
        <f t="array" ref="E55">_xlfn.IFNA(INDEX(Data!$D$1:$D$865,MATCH(1,("2+"&amp;$A55=Data!$A$1:$A$865)*(1237=Data!$B$1:$B$865),0)),"")</f>
        <v/>
      </c>
      <c r="F55" t="str" cm="1">
        <f t="array" ref="F55">_xlfn.IFNA(INDEX(Data!$D$1:$D$865,MATCH(1,("1+"&amp;$A55=Data!$A$1:$A$865)*(905=Data!$B$1:$B$865),0)),"")</f>
        <v/>
      </c>
      <c r="G55" t="str" cm="1">
        <f t="array" ref="G55">_xlfn.IFNA(INDEX(Data!$D$1:$D$865,MATCH(1,("1+"&amp;$A55=Data!$A$1:$A$865)*(906=Data!$B$1:$B$865),0)),"")</f>
        <v/>
      </c>
      <c r="H55" t="str" cm="1">
        <f t="array" ref="H55">_xlfn.IFNA(INDEX(Data!$D$1:$D$865,MATCH(1,("2+"&amp;$A55=Data!$A$1:$A$865)*(905=Data!$B$1:$B$865),0)),"")</f>
        <v/>
      </c>
      <c r="I55" t="str" cm="1">
        <f t="array" ref="I55">_xlfn.IFNA(INDEX(Data!$D$1:$D$865,MATCH(1,("2+"&amp;$A55=Data!$A$1:$A$865)*(906=Data!$B$1:$B$865),0)),"")</f>
        <v/>
      </c>
      <c r="J55" t="str">
        <f t="shared" si="0"/>
        <v/>
      </c>
      <c r="K55" t="str">
        <f t="shared" si="1"/>
        <v/>
      </c>
      <c r="L55" s="3" t="str">
        <f>_xlfn.IFNA(VLOOKUP($A55,'Cr4+'!$Y:$AB,2,FALSE),"")</f>
        <v/>
      </c>
      <c r="M55" s="3" t="str">
        <f>_xlfn.IFNA((VLOOKUP($A55,'Cr4+'!$Y:$AB,3,FALSE)),"")</f>
        <v/>
      </c>
      <c r="N55" s="3" t="str">
        <f>_xlfn.IFNA(VLOOKUP($A55,'Cr4+'!$Y:$AB,4,FALSE),"")</f>
        <v/>
      </c>
    </row>
    <row r="56" spans="2:14" x14ac:dyDescent="0.25">
      <c r="B56" t="str" cm="1">
        <f t="array" ref="B56">_xlfn.IFNA(INDEX(Data!$D$1:$D$865,MATCH(1,("1+"&amp;$A56=Data!$A$1:$A$865)*(1236=Data!$B$1:$B$865),0)),"")</f>
        <v/>
      </c>
      <c r="C56" t="str" cm="1">
        <f t="array" ref="C56">_xlfn.IFNA(INDEX(Data!$D$1:$D$865,MATCH(1,("1+"&amp;$A56=Data!$A$1:$A$865)*(1237=Data!$B$1:$B$865),0)),"")</f>
        <v/>
      </c>
      <c r="D56" t="str" cm="1">
        <f t="array" ref="D56">_xlfn.IFNA(INDEX(Data!$D$1:$D$865,MATCH(1,("2+"&amp;$A56=Data!$A$1:$A$865)*(1236=Data!$B$1:$B$865),0)),"")</f>
        <v/>
      </c>
      <c r="E56" t="str" cm="1">
        <f t="array" ref="E56">_xlfn.IFNA(INDEX(Data!$D$1:$D$865,MATCH(1,("2+"&amp;$A56=Data!$A$1:$A$865)*(1237=Data!$B$1:$B$865),0)),"")</f>
        <v/>
      </c>
      <c r="F56" t="str" cm="1">
        <f t="array" ref="F56">_xlfn.IFNA(INDEX(Data!$D$1:$D$865,MATCH(1,("1+"&amp;$A56=Data!$A$1:$A$865)*(905=Data!$B$1:$B$865),0)),"")</f>
        <v/>
      </c>
      <c r="G56" t="str" cm="1">
        <f t="array" ref="G56">_xlfn.IFNA(INDEX(Data!$D$1:$D$865,MATCH(1,("1+"&amp;$A56=Data!$A$1:$A$865)*(906=Data!$B$1:$B$865),0)),"")</f>
        <v/>
      </c>
      <c r="H56" t="str" cm="1">
        <f t="array" ref="H56">_xlfn.IFNA(INDEX(Data!$D$1:$D$865,MATCH(1,("2+"&amp;$A56=Data!$A$1:$A$865)*(905=Data!$B$1:$B$865),0)),"")</f>
        <v/>
      </c>
      <c r="I56" t="str" cm="1">
        <f t="array" ref="I56">_xlfn.IFNA(INDEX(Data!$D$1:$D$865,MATCH(1,("2+"&amp;$A56=Data!$A$1:$A$865)*(906=Data!$B$1:$B$865),0)),"")</f>
        <v/>
      </c>
      <c r="J56" t="str">
        <f t="shared" si="0"/>
        <v/>
      </c>
      <c r="K56" t="str">
        <f t="shared" si="1"/>
        <v/>
      </c>
      <c r="L56" s="3" t="str">
        <f>_xlfn.IFNA(VLOOKUP($A56,'Cr4+'!$Y:$AB,2,FALSE),"")</f>
        <v/>
      </c>
      <c r="M56" s="3" t="str">
        <f>_xlfn.IFNA((VLOOKUP($A56,'Cr4+'!$Y:$AB,3,FALSE)),"")</f>
        <v/>
      </c>
      <c r="N56" s="3" t="str">
        <f>_xlfn.IFNA(VLOOKUP($A56,'Cr4+'!$Y:$AB,4,FALSE),"")</f>
        <v/>
      </c>
    </row>
    <row r="57" spans="2:14" x14ac:dyDescent="0.25">
      <c r="B57" t="str" cm="1">
        <f t="array" ref="B57">_xlfn.IFNA(INDEX(Data!$D$1:$D$865,MATCH(1,("1+"&amp;$A57=Data!$A$1:$A$865)*(1236=Data!$B$1:$B$865),0)),"")</f>
        <v/>
      </c>
      <c r="C57" t="str" cm="1">
        <f t="array" ref="C57">_xlfn.IFNA(INDEX(Data!$D$1:$D$865,MATCH(1,("1+"&amp;$A57=Data!$A$1:$A$865)*(1237=Data!$B$1:$B$865),0)),"")</f>
        <v/>
      </c>
      <c r="D57" t="str" cm="1">
        <f t="array" ref="D57">_xlfn.IFNA(INDEX(Data!$D$1:$D$865,MATCH(1,("2+"&amp;$A57=Data!$A$1:$A$865)*(1236=Data!$B$1:$B$865),0)),"")</f>
        <v/>
      </c>
      <c r="E57" t="str" cm="1">
        <f t="array" ref="E57">_xlfn.IFNA(INDEX(Data!$D$1:$D$865,MATCH(1,("2+"&amp;$A57=Data!$A$1:$A$865)*(1237=Data!$B$1:$B$865),0)),"")</f>
        <v/>
      </c>
      <c r="F57" t="str" cm="1">
        <f t="array" ref="F57">_xlfn.IFNA(INDEX(Data!$D$1:$D$865,MATCH(1,("1+"&amp;$A57=Data!$A$1:$A$865)*(905=Data!$B$1:$B$865),0)),"")</f>
        <v/>
      </c>
      <c r="G57" t="str" cm="1">
        <f t="array" ref="G57">_xlfn.IFNA(INDEX(Data!$D$1:$D$865,MATCH(1,("1+"&amp;$A57=Data!$A$1:$A$865)*(906=Data!$B$1:$B$865),0)),"")</f>
        <v/>
      </c>
      <c r="H57" t="str" cm="1">
        <f t="array" ref="H57">_xlfn.IFNA(INDEX(Data!$D$1:$D$865,MATCH(1,("2+"&amp;$A57=Data!$A$1:$A$865)*(905=Data!$B$1:$B$865),0)),"")</f>
        <v/>
      </c>
      <c r="I57" t="str" cm="1">
        <f t="array" ref="I57">_xlfn.IFNA(INDEX(Data!$D$1:$D$865,MATCH(1,("2+"&amp;$A57=Data!$A$1:$A$865)*(906=Data!$B$1:$B$865),0)),"")</f>
        <v/>
      </c>
      <c r="J57" t="str">
        <f t="shared" si="0"/>
        <v/>
      </c>
      <c r="K57" t="str">
        <f t="shared" si="1"/>
        <v/>
      </c>
      <c r="L57" s="3" t="str">
        <f>_xlfn.IFNA(VLOOKUP($A57,'Cr4+'!$Y:$AB,2,FALSE),"")</f>
        <v/>
      </c>
      <c r="M57" s="3" t="str">
        <f>_xlfn.IFNA((VLOOKUP($A57,'Cr4+'!$Y:$AB,3,FALSE)),"")</f>
        <v/>
      </c>
      <c r="N57" s="3" t="str">
        <f>_xlfn.IFNA(VLOOKUP($A57,'Cr4+'!$Y:$AB,4,FALSE),"")</f>
        <v/>
      </c>
    </row>
    <row r="58" spans="2:14" x14ac:dyDescent="0.25">
      <c r="B58" t="str" cm="1">
        <f t="array" ref="B58">_xlfn.IFNA(INDEX(Data!$D$1:$D$865,MATCH(1,("1+"&amp;$A58=Data!$A$1:$A$865)*(1236=Data!$B$1:$B$865),0)),"")</f>
        <v/>
      </c>
      <c r="C58" t="str" cm="1">
        <f t="array" ref="C58">_xlfn.IFNA(INDEX(Data!$D$1:$D$865,MATCH(1,("1+"&amp;$A58=Data!$A$1:$A$865)*(1237=Data!$B$1:$B$865),0)),"")</f>
        <v/>
      </c>
      <c r="D58" t="str" cm="1">
        <f t="array" ref="D58">_xlfn.IFNA(INDEX(Data!$D$1:$D$865,MATCH(1,("2+"&amp;$A58=Data!$A$1:$A$865)*(1236=Data!$B$1:$B$865),0)),"")</f>
        <v/>
      </c>
      <c r="E58" t="str" cm="1">
        <f t="array" ref="E58">_xlfn.IFNA(INDEX(Data!$D$1:$D$865,MATCH(1,("2+"&amp;$A58=Data!$A$1:$A$865)*(1237=Data!$B$1:$B$865),0)),"")</f>
        <v/>
      </c>
      <c r="F58" t="str" cm="1">
        <f t="array" ref="F58">_xlfn.IFNA(INDEX(Data!$D$1:$D$865,MATCH(1,("1+"&amp;$A58=Data!$A$1:$A$865)*(905=Data!$B$1:$B$865),0)),"")</f>
        <v/>
      </c>
      <c r="G58" t="str" cm="1">
        <f t="array" ref="G58">_xlfn.IFNA(INDEX(Data!$D$1:$D$865,MATCH(1,("1+"&amp;$A58=Data!$A$1:$A$865)*(906=Data!$B$1:$B$865),0)),"")</f>
        <v/>
      </c>
      <c r="H58" t="str" cm="1">
        <f t="array" ref="H58">_xlfn.IFNA(INDEX(Data!$D$1:$D$865,MATCH(1,("2+"&amp;$A58=Data!$A$1:$A$865)*(905=Data!$B$1:$B$865),0)),"")</f>
        <v/>
      </c>
      <c r="I58" t="str" cm="1">
        <f t="array" ref="I58">_xlfn.IFNA(INDEX(Data!$D$1:$D$865,MATCH(1,("2+"&amp;$A58=Data!$A$1:$A$865)*(906=Data!$B$1:$B$865),0)),"")</f>
        <v/>
      </c>
      <c r="J58" t="str">
        <f t="shared" si="0"/>
        <v/>
      </c>
      <c r="K58" t="str">
        <f t="shared" si="1"/>
        <v/>
      </c>
      <c r="L58" s="3" t="str">
        <f>_xlfn.IFNA(VLOOKUP($A58,'Cr4+'!$Y:$AB,2,FALSE),"")</f>
        <v/>
      </c>
      <c r="M58" s="3" t="str">
        <f>_xlfn.IFNA((VLOOKUP($A58,'Cr4+'!$Y:$AB,3,FALSE)),"")</f>
        <v/>
      </c>
      <c r="N58" s="3" t="str">
        <f>_xlfn.IFNA(VLOOKUP($A58,'Cr4+'!$Y:$AB,4,FALSE),"")</f>
        <v/>
      </c>
    </row>
    <row r="59" spans="2:14" x14ac:dyDescent="0.25">
      <c r="B59" t="str" cm="1">
        <f t="array" ref="B59">_xlfn.IFNA(INDEX(Data!$D$1:$D$865,MATCH(1,("1+"&amp;$A59=Data!$A$1:$A$865)*(1236=Data!$B$1:$B$865),0)),"")</f>
        <v/>
      </c>
      <c r="C59" t="str" cm="1">
        <f t="array" ref="C59">_xlfn.IFNA(INDEX(Data!$D$1:$D$865,MATCH(1,("1+"&amp;$A59=Data!$A$1:$A$865)*(1237=Data!$B$1:$B$865),0)),"")</f>
        <v/>
      </c>
      <c r="D59" t="str" cm="1">
        <f t="array" ref="D59">_xlfn.IFNA(INDEX(Data!$D$1:$D$865,MATCH(1,("2+"&amp;$A59=Data!$A$1:$A$865)*(1236=Data!$B$1:$B$865),0)),"")</f>
        <v/>
      </c>
      <c r="E59" t="str" cm="1">
        <f t="array" ref="E59">_xlfn.IFNA(INDEX(Data!$D$1:$D$865,MATCH(1,("2+"&amp;$A59=Data!$A$1:$A$865)*(1237=Data!$B$1:$B$865),0)),"")</f>
        <v/>
      </c>
      <c r="F59" t="str" cm="1">
        <f t="array" ref="F59">_xlfn.IFNA(INDEX(Data!$D$1:$D$865,MATCH(1,("1+"&amp;$A59=Data!$A$1:$A$865)*(905=Data!$B$1:$B$865),0)),"")</f>
        <v/>
      </c>
      <c r="G59" t="str" cm="1">
        <f t="array" ref="G59">_xlfn.IFNA(INDEX(Data!$D$1:$D$865,MATCH(1,("1+"&amp;$A59=Data!$A$1:$A$865)*(906=Data!$B$1:$B$865),0)),"")</f>
        <v/>
      </c>
      <c r="H59" t="str" cm="1">
        <f t="array" ref="H59">_xlfn.IFNA(INDEX(Data!$D$1:$D$865,MATCH(1,("2+"&amp;$A59=Data!$A$1:$A$865)*(905=Data!$B$1:$B$865),0)),"")</f>
        <v/>
      </c>
      <c r="I59" t="str" cm="1">
        <f t="array" ref="I59">_xlfn.IFNA(INDEX(Data!$D$1:$D$865,MATCH(1,("2+"&amp;$A59=Data!$A$1:$A$865)*(906=Data!$B$1:$B$865),0)),"")</f>
        <v/>
      </c>
      <c r="J59" t="str">
        <f t="shared" si="0"/>
        <v/>
      </c>
      <c r="K59" t="str">
        <f t="shared" si="1"/>
        <v/>
      </c>
      <c r="L59" s="3" t="str">
        <f>_xlfn.IFNA(VLOOKUP($A59,'Cr4+'!$Y:$AB,2,FALSE),"")</f>
        <v/>
      </c>
      <c r="M59" s="3" t="str">
        <f>_xlfn.IFNA((VLOOKUP($A59,'Cr4+'!$Y:$AB,3,FALSE)),"")</f>
        <v/>
      </c>
      <c r="N59" s="3" t="str">
        <f>_xlfn.IFNA(VLOOKUP($A59,'Cr4+'!$Y:$AB,4,FALSE),"")</f>
        <v/>
      </c>
    </row>
    <row r="60" spans="2:14" x14ac:dyDescent="0.25">
      <c r="B60" t="str" cm="1">
        <f t="array" ref="B60">_xlfn.IFNA(INDEX(Data!$D$1:$D$865,MATCH(1,("1+"&amp;$A60=Data!$A$1:$A$865)*(1236=Data!$B$1:$B$865),0)),"")</f>
        <v/>
      </c>
      <c r="C60" t="str" cm="1">
        <f t="array" ref="C60">_xlfn.IFNA(INDEX(Data!$D$1:$D$865,MATCH(1,("1+"&amp;$A60=Data!$A$1:$A$865)*(1237=Data!$B$1:$B$865),0)),"")</f>
        <v/>
      </c>
      <c r="D60" t="str" cm="1">
        <f t="array" ref="D60">_xlfn.IFNA(INDEX(Data!$D$1:$D$865,MATCH(1,("2+"&amp;$A60=Data!$A$1:$A$865)*(1236=Data!$B$1:$B$865),0)),"")</f>
        <v/>
      </c>
      <c r="E60" t="str" cm="1">
        <f t="array" ref="E60">_xlfn.IFNA(INDEX(Data!$D$1:$D$865,MATCH(1,("2+"&amp;$A60=Data!$A$1:$A$865)*(1237=Data!$B$1:$B$865),0)),"")</f>
        <v/>
      </c>
      <c r="F60" t="str" cm="1">
        <f t="array" ref="F60">_xlfn.IFNA(INDEX(Data!$D$1:$D$865,MATCH(1,("1+"&amp;$A60=Data!$A$1:$A$865)*(905=Data!$B$1:$B$865),0)),"")</f>
        <v/>
      </c>
      <c r="G60" t="str" cm="1">
        <f t="array" ref="G60">_xlfn.IFNA(INDEX(Data!$D$1:$D$865,MATCH(1,("1+"&amp;$A60=Data!$A$1:$A$865)*(906=Data!$B$1:$B$865),0)),"")</f>
        <v/>
      </c>
      <c r="H60" t="str" cm="1">
        <f t="array" ref="H60">_xlfn.IFNA(INDEX(Data!$D$1:$D$865,MATCH(1,("2+"&amp;$A60=Data!$A$1:$A$865)*(905=Data!$B$1:$B$865),0)),"")</f>
        <v/>
      </c>
      <c r="I60" t="str" cm="1">
        <f t="array" ref="I60">_xlfn.IFNA(INDEX(Data!$D$1:$D$865,MATCH(1,("2+"&amp;$A60=Data!$A$1:$A$865)*(906=Data!$B$1:$B$865),0)),"")</f>
        <v/>
      </c>
      <c r="J60" t="str">
        <f t="shared" si="0"/>
        <v/>
      </c>
      <c r="K60" t="str">
        <f t="shared" si="1"/>
        <v/>
      </c>
      <c r="L60" s="3" t="str">
        <f>_xlfn.IFNA(VLOOKUP($A60,'Cr4+'!$Y:$AB,2,FALSE),"")</f>
        <v/>
      </c>
      <c r="M60" s="3" t="str">
        <f>_xlfn.IFNA((VLOOKUP($A60,'Cr4+'!$Y:$AB,3,FALSE)),"")</f>
        <v/>
      </c>
      <c r="N60" s="3" t="str">
        <f>_xlfn.IFNA(VLOOKUP($A60,'Cr4+'!$Y:$AB,4,FALSE),"")</f>
        <v/>
      </c>
    </row>
    <row r="61" spans="2:14" x14ac:dyDescent="0.25">
      <c r="B61" t="str" cm="1">
        <f t="array" ref="B61">_xlfn.IFNA(INDEX(Data!$D$1:$D$865,MATCH(1,("1+"&amp;$A61=Data!$A$1:$A$865)*(1236=Data!$B$1:$B$865),0)),"")</f>
        <v/>
      </c>
      <c r="C61" t="str" cm="1">
        <f t="array" ref="C61">_xlfn.IFNA(INDEX(Data!$D$1:$D$865,MATCH(1,("1+"&amp;$A61=Data!$A$1:$A$865)*(1237=Data!$B$1:$B$865),0)),"")</f>
        <v/>
      </c>
      <c r="D61" t="str" cm="1">
        <f t="array" ref="D61">_xlfn.IFNA(INDEX(Data!$D$1:$D$865,MATCH(1,("2+"&amp;$A61=Data!$A$1:$A$865)*(1236=Data!$B$1:$B$865),0)),"")</f>
        <v/>
      </c>
      <c r="E61" t="str" cm="1">
        <f t="array" ref="E61">_xlfn.IFNA(INDEX(Data!$D$1:$D$865,MATCH(1,("2+"&amp;$A61=Data!$A$1:$A$865)*(1237=Data!$B$1:$B$865),0)),"")</f>
        <v/>
      </c>
      <c r="F61" t="str" cm="1">
        <f t="array" ref="F61">_xlfn.IFNA(INDEX(Data!$D$1:$D$865,MATCH(1,("1+"&amp;$A61=Data!$A$1:$A$865)*(905=Data!$B$1:$B$865),0)),"")</f>
        <v/>
      </c>
      <c r="G61" t="str" cm="1">
        <f t="array" ref="G61">_xlfn.IFNA(INDEX(Data!$D$1:$D$865,MATCH(1,("1+"&amp;$A61=Data!$A$1:$A$865)*(906=Data!$B$1:$B$865),0)),"")</f>
        <v/>
      </c>
      <c r="H61" t="str" cm="1">
        <f t="array" ref="H61">_xlfn.IFNA(INDEX(Data!$D$1:$D$865,MATCH(1,("2+"&amp;$A61=Data!$A$1:$A$865)*(905=Data!$B$1:$B$865),0)),"")</f>
        <v/>
      </c>
      <c r="I61" t="str" cm="1">
        <f t="array" ref="I61">_xlfn.IFNA(INDEX(Data!$D$1:$D$865,MATCH(1,("2+"&amp;$A61=Data!$A$1:$A$865)*(906=Data!$B$1:$B$865),0)),"")</f>
        <v/>
      </c>
      <c r="J61" t="str">
        <f t="shared" si="0"/>
        <v/>
      </c>
      <c r="K61" t="str">
        <f t="shared" si="1"/>
        <v/>
      </c>
      <c r="L61" s="3" t="str">
        <f>_xlfn.IFNA(VLOOKUP($A61,'Cr4+'!$Y:$AB,2,FALSE),"")</f>
        <v/>
      </c>
      <c r="M61" s="3" t="str">
        <f>_xlfn.IFNA((VLOOKUP($A61,'Cr4+'!$Y:$AB,3,FALSE)),"")</f>
        <v/>
      </c>
      <c r="N61" s="3" t="str">
        <f>_xlfn.IFNA(VLOOKUP($A61,'Cr4+'!$Y:$AB,4,FALSE),"")</f>
        <v/>
      </c>
    </row>
    <row r="62" spans="2:14" x14ac:dyDescent="0.25">
      <c r="B62" t="str" cm="1">
        <f t="array" ref="B62">_xlfn.IFNA(INDEX(Data!$D$1:$D$865,MATCH(1,("1+"&amp;$A62=Data!$A$1:$A$865)*(1236=Data!$B$1:$B$865),0)),"")</f>
        <v/>
      </c>
      <c r="C62" t="str" cm="1">
        <f t="array" ref="C62">_xlfn.IFNA(INDEX(Data!$D$1:$D$865,MATCH(1,("1+"&amp;$A62=Data!$A$1:$A$865)*(1237=Data!$B$1:$B$865),0)),"")</f>
        <v/>
      </c>
      <c r="D62" t="str" cm="1">
        <f t="array" ref="D62">_xlfn.IFNA(INDEX(Data!$D$1:$D$865,MATCH(1,("2+"&amp;$A62=Data!$A$1:$A$865)*(1236=Data!$B$1:$B$865),0)),"")</f>
        <v/>
      </c>
      <c r="E62" t="str" cm="1">
        <f t="array" ref="E62">_xlfn.IFNA(INDEX(Data!$D$1:$D$865,MATCH(1,("2+"&amp;$A62=Data!$A$1:$A$865)*(1237=Data!$B$1:$B$865),0)),"")</f>
        <v/>
      </c>
      <c r="F62" t="str" cm="1">
        <f t="array" ref="F62">_xlfn.IFNA(INDEX(Data!$D$1:$D$865,MATCH(1,("1+"&amp;$A62=Data!$A$1:$A$865)*(905=Data!$B$1:$B$865),0)),"")</f>
        <v/>
      </c>
      <c r="G62" t="str" cm="1">
        <f t="array" ref="G62">_xlfn.IFNA(INDEX(Data!$D$1:$D$865,MATCH(1,("1+"&amp;$A62=Data!$A$1:$A$865)*(906=Data!$B$1:$B$865),0)),"")</f>
        <v/>
      </c>
      <c r="H62" t="str" cm="1">
        <f t="array" ref="H62">_xlfn.IFNA(INDEX(Data!$D$1:$D$865,MATCH(1,("2+"&amp;$A62=Data!$A$1:$A$865)*(905=Data!$B$1:$B$865),0)),"")</f>
        <v/>
      </c>
      <c r="I62" t="str" cm="1">
        <f t="array" ref="I62">_xlfn.IFNA(INDEX(Data!$D$1:$D$865,MATCH(1,("2+"&amp;$A62=Data!$A$1:$A$865)*(906=Data!$B$1:$B$865),0)),"")</f>
        <v/>
      </c>
      <c r="J62" t="str">
        <f t="shared" si="0"/>
        <v/>
      </c>
      <c r="K62" t="str">
        <f t="shared" si="1"/>
        <v/>
      </c>
      <c r="L62" s="3" t="str">
        <f>_xlfn.IFNA(VLOOKUP($A62,'Cr4+'!$Y:$AB,2,FALSE),"")</f>
        <v/>
      </c>
      <c r="M62" s="3" t="str">
        <f>_xlfn.IFNA((VLOOKUP($A62,'Cr4+'!$Y:$AB,3,FALSE)),"")</f>
        <v/>
      </c>
      <c r="N62" s="3" t="str">
        <f>_xlfn.IFNA(VLOOKUP($A62,'Cr4+'!$Y:$AB,4,FALSE),"")</f>
        <v/>
      </c>
    </row>
    <row r="63" spans="2:14" x14ac:dyDescent="0.25">
      <c r="B63" t="str" cm="1">
        <f t="array" ref="B63">_xlfn.IFNA(INDEX(Data!$D$1:$D$865,MATCH(1,("1+"&amp;$A63=Data!$A$1:$A$865)*(1236=Data!$B$1:$B$865),0)),"")</f>
        <v/>
      </c>
      <c r="C63" t="str" cm="1">
        <f t="array" ref="C63">_xlfn.IFNA(INDEX(Data!$D$1:$D$865,MATCH(1,("1+"&amp;$A63=Data!$A$1:$A$865)*(1237=Data!$B$1:$B$865),0)),"")</f>
        <v/>
      </c>
      <c r="D63" t="str" cm="1">
        <f t="array" ref="D63">_xlfn.IFNA(INDEX(Data!$D$1:$D$865,MATCH(1,("2+"&amp;$A63=Data!$A$1:$A$865)*(1236=Data!$B$1:$B$865),0)),"")</f>
        <v/>
      </c>
      <c r="E63" t="str" cm="1">
        <f t="array" ref="E63">_xlfn.IFNA(INDEX(Data!$D$1:$D$865,MATCH(1,("2+"&amp;$A63=Data!$A$1:$A$865)*(1237=Data!$B$1:$B$865),0)),"")</f>
        <v/>
      </c>
      <c r="F63" t="str" cm="1">
        <f t="array" ref="F63">_xlfn.IFNA(INDEX(Data!$D$1:$D$865,MATCH(1,("1+"&amp;$A63=Data!$A$1:$A$865)*(905=Data!$B$1:$B$865),0)),"")</f>
        <v/>
      </c>
      <c r="G63" t="str" cm="1">
        <f t="array" ref="G63">_xlfn.IFNA(INDEX(Data!$D$1:$D$865,MATCH(1,("1+"&amp;$A63=Data!$A$1:$A$865)*(906=Data!$B$1:$B$865),0)),"")</f>
        <v/>
      </c>
      <c r="H63" t="str" cm="1">
        <f t="array" ref="H63">_xlfn.IFNA(INDEX(Data!$D$1:$D$865,MATCH(1,("2+"&amp;$A63=Data!$A$1:$A$865)*(905=Data!$B$1:$B$865),0)),"")</f>
        <v/>
      </c>
      <c r="I63" t="str" cm="1">
        <f t="array" ref="I63">_xlfn.IFNA(INDEX(Data!$D$1:$D$865,MATCH(1,("2+"&amp;$A63=Data!$A$1:$A$865)*(906=Data!$B$1:$B$865),0)),"")</f>
        <v/>
      </c>
      <c r="J63" t="str">
        <f t="shared" si="0"/>
        <v/>
      </c>
      <c r="K63" t="str">
        <f t="shared" si="1"/>
        <v/>
      </c>
      <c r="L63" s="3" t="str">
        <f>_xlfn.IFNA(VLOOKUP($A63,'Cr4+'!$Y:$AB,2,FALSE),"")</f>
        <v/>
      </c>
      <c r="M63" s="3" t="str">
        <f>_xlfn.IFNA((VLOOKUP($A63,'Cr4+'!$Y:$AB,3,FALSE)),"")</f>
        <v/>
      </c>
      <c r="N63" s="3" t="str">
        <f>_xlfn.IFNA(VLOOKUP($A63,'Cr4+'!$Y:$AB,4,FALSE),"")</f>
        <v/>
      </c>
    </row>
    <row r="64" spans="2:14" x14ac:dyDescent="0.25">
      <c r="B64" t="str" cm="1">
        <f t="array" ref="B64">_xlfn.IFNA(INDEX(Data!$D$1:$D$865,MATCH(1,("1+"&amp;$A64=Data!$A$1:$A$865)*(1236=Data!$B$1:$B$865),0)),"")</f>
        <v/>
      </c>
      <c r="C64" t="str" cm="1">
        <f t="array" ref="C64">_xlfn.IFNA(INDEX(Data!$D$1:$D$865,MATCH(1,("1+"&amp;$A64=Data!$A$1:$A$865)*(1237=Data!$B$1:$B$865),0)),"")</f>
        <v/>
      </c>
      <c r="D64" t="str" cm="1">
        <f t="array" ref="D64">_xlfn.IFNA(INDEX(Data!$D$1:$D$865,MATCH(1,("2+"&amp;$A64=Data!$A$1:$A$865)*(1236=Data!$B$1:$B$865),0)),"")</f>
        <v/>
      </c>
      <c r="E64" t="str" cm="1">
        <f t="array" ref="E64">_xlfn.IFNA(INDEX(Data!$D$1:$D$865,MATCH(1,("2+"&amp;$A64=Data!$A$1:$A$865)*(1237=Data!$B$1:$B$865),0)),"")</f>
        <v/>
      </c>
      <c r="F64" t="str" cm="1">
        <f t="array" ref="F64">_xlfn.IFNA(INDEX(Data!$D$1:$D$865,MATCH(1,("1+"&amp;$A64=Data!$A$1:$A$865)*(905=Data!$B$1:$B$865),0)),"")</f>
        <v/>
      </c>
      <c r="G64" t="str" cm="1">
        <f t="array" ref="G64">_xlfn.IFNA(INDEX(Data!$D$1:$D$865,MATCH(1,("1+"&amp;$A64=Data!$A$1:$A$865)*(906=Data!$B$1:$B$865),0)),"")</f>
        <v/>
      </c>
      <c r="H64" t="str" cm="1">
        <f t="array" ref="H64">_xlfn.IFNA(INDEX(Data!$D$1:$D$865,MATCH(1,("2+"&amp;$A64=Data!$A$1:$A$865)*(905=Data!$B$1:$B$865),0)),"")</f>
        <v/>
      </c>
      <c r="I64" t="str" cm="1">
        <f t="array" ref="I64">_xlfn.IFNA(INDEX(Data!$D$1:$D$865,MATCH(1,("2+"&amp;$A64=Data!$A$1:$A$865)*(906=Data!$B$1:$B$865),0)),"")</f>
        <v/>
      </c>
      <c r="J64" t="str">
        <f t="shared" si="0"/>
        <v/>
      </c>
      <c r="K64" t="str">
        <f t="shared" si="1"/>
        <v/>
      </c>
      <c r="L64" s="3" t="str">
        <f>_xlfn.IFNA(VLOOKUP($A64,'Cr4+'!$Y:$AB,2,FALSE),"")</f>
        <v/>
      </c>
      <c r="M64" s="3" t="str">
        <f>_xlfn.IFNA((VLOOKUP($A64,'Cr4+'!$Y:$AB,3,FALSE)),"")</f>
        <v/>
      </c>
      <c r="N64" s="3" t="str">
        <f>_xlfn.IFNA(VLOOKUP($A64,'Cr4+'!$Y:$AB,4,FALSE),"")</f>
        <v/>
      </c>
    </row>
    <row r="65" spans="2:14" x14ac:dyDescent="0.25">
      <c r="B65" t="str" cm="1">
        <f t="array" ref="B65">_xlfn.IFNA(INDEX(Data!$D$1:$D$865,MATCH(1,("1+"&amp;$A65=Data!$A$1:$A$865)*(1236=Data!$B$1:$B$865),0)),"")</f>
        <v/>
      </c>
      <c r="C65" t="str" cm="1">
        <f t="array" ref="C65">_xlfn.IFNA(INDEX(Data!$D$1:$D$865,MATCH(1,("1+"&amp;$A65=Data!$A$1:$A$865)*(1237=Data!$B$1:$B$865),0)),"")</f>
        <v/>
      </c>
      <c r="D65" t="str" cm="1">
        <f t="array" ref="D65">_xlfn.IFNA(INDEX(Data!$D$1:$D$865,MATCH(1,("2+"&amp;$A65=Data!$A$1:$A$865)*(1236=Data!$B$1:$B$865),0)),"")</f>
        <v/>
      </c>
      <c r="E65" t="str" cm="1">
        <f t="array" ref="E65">_xlfn.IFNA(INDEX(Data!$D$1:$D$865,MATCH(1,("2+"&amp;$A65=Data!$A$1:$A$865)*(1237=Data!$B$1:$B$865),0)),"")</f>
        <v/>
      </c>
      <c r="F65" t="str" cm="1">
        <f t="array" ref="F65">_xlfn.IFNA(INDEX(Data!$D$1:$D$865,MATCH(1,("1+"&amp;$A65=Data!$A$1:$A$865)*(905=Data!$B$1:$B$865),0)),"")</f>
        <v/>
      </c>
      <c r="G65" t="str" cm="1">
        <f t="array" ref="G65">_xlfn.IFNA(INDEX(Data!$D$1:$D$865,MATCH(1,("1+"&amp;$A65=Data!$A$1:$A$865)*(906=Data!$B$1:$B$865),0)),"")</f>
        <v/>
      </c>
      <c r="H65" t="str" cm="1">
        <f t="array" ref="H65">_xlfn.IFNA(INDEX(Data!$D$1:$D$865,MATCH(1,("2+"&amp;$A65=Data!$A$1:$A$865)*(905=Data!$B$1:$B$865),0)),"")</f>
        <v/>
      </c>
      <c r="I65" t="str" cm="1">
        <f t="array" ref="I65">_xlfn.IFNA(INDEX(Data!$D$1:$D$865,MATCH(1,("2+"&amp;$A65=Data!$A$1:$A$865)*(906=Data!$B$1:$B$865),0)),"")</f>
        <v/>
      </c>
      <c r="J65" t="str">
        <f t="shared" si="0"/>
        <v/>
      </c>
      <c r="K65" t="str">
        <f t="shared" si="1"/>
        <v/>
      </c>
      <c r="L65" s="3" t="str">
        <f>_xlfn.IFNA(VLOOKUP($A65,'Cr4+'!$Y:$AB,2,FALSE),"")</f>
        <v/>
      </c>
      <c r="M65" s="3" t="str">
        <f>_xlfn.IFNA((VLOOKUP($A65,'Cr4+'!$Y:$AB,3,FALSE)),"")</f>
        <v/>
      </c>
      <c r="N65" s="3" t="str">
        <f>_xlfn.IFNA(VLOOKUP($A65,'Cr4+'!$Y:$AB,4,FALSE),"")</f>
        <v/>
      </c>
    </row>
    <row r="66" spans="2:14" x14ac:dyDescent="0.25">
      <c r="B66" t="str" cm="1">
        <f t="array" ref="B66">_xlfn.IFNA(INDEX(Data!$D$1:$D$865,MATCH(1,("1+"&amp;$A66=Data!$A$1:$A$865)*(1236=Data!$B$1:$B$865),0)),"")</f>
        <v/>
      </c>
      <c r="C66" t="str" cm="1">
        <f t="array" ref="C66">_xlfn.IFNA(INDEX(Data!$D$1:$D$865,MATCH(1,("1+"&amp;$A66=Data!$A$1:$A$865)*(1237=Data!$B$1:$B$865),0)),"")</f>
        <v/>
      </c>
      <c r="D66" t="str" cm="1">
        <f t="array" ref="D66">_xlfn.IFNA(INDEX(Data!$D$1:$D$865,MATCH(1,("2+"&amp;$A66=Data!$A$1:$A$865)*(1236=Data!$B$1:$B$865),0)),"")</f>
        <v/>
      </c>
      <c r="E66" t="str" cm="1">
        <f t="array" ref="E66">_xlfn.IFNA(INDEX(Data!$D$1:$D$865,MATCH(1,("2+"&amp;$A66=Data!$A$1:$A$865)*(1237=Data!$B$1:$B$865),0)),"")</f>
        <v/>
      </c>
      <c r="F66" t="str" cm="1">
        <f t="array" ref="F66">_xlfn.IFNA(INDEX(Data!$D$1:$D$865,MATCH(1,("1+"&amp;$A66=Data!$A$1:$A$865)*(905=Data!$B$1:$B$865),0)),"")</f>
        <v/>
      </c>
      <c r="G66" t="str" cm="1">
        <f t="array" ref="G66">_xlfn.IFNA(INDEX(Data!$D$1:$D$865,MATCH(1,("1+"&amp;$A66=Data!$A$1:$A$865)*(906=Data!$B$1:$B$865),0)),"")</f>
        <v/>
      </c>
      <c r="H66" t="str" cm="1">
        <f t="array" ref="H66">_xlfn.IFNA(INDEX(Data!$D$1:$D$865,MATCH(1,("2+"&amp;$A66=Data!$A$1:$A$865)*(905=Data!$B$1:$B$865),0)),"")</f>
        <v/>
      </c>
      <c r="I66" t="str" cm="1">
        <f t="array" ref="I66">_xlfn.IFNA(INDEX(Data!$D$1:$D$865,MATCH(1,("2+"&amp;$A66=Data!$A$1:$A$865)*(906=Data!$B$1:$B$865),0)),"")</f>
        <v/>
      </c>
      <c r="J66" t="str">
        <f t="shared" si="0"/>
        <v/>
      </c>
      <c r="K66" t="str">
        <f t="shared" si="1"/>
        <v/>
      </c>
      <c r="L66" s="3" t="str">
        <f>_xlfn.IFNA(VLOOKUP($A66,'Cr4+'!$Y:$AB,2,FALSE),"")</f>
        <v/>
      </c>
      <c r="M66" s="3" t="str">
        <f>_xlfn.IFNA((VLOOKUP($A66,'Cr4+'!$Y:$AB,3,FALSE)),"")</f>
        <v/>
      </c>
      <c r="N66" s="3" t="str">
        <f>_xlfn.IFNA(VLOOKUP($A66,'Cr4+'!$Y:$AB,4,FALSE),"")</f>
        <v/>
      </c>
    </row>
    <row r="67" spans="2:14" x14ac:dyDescent="0.25">
      <c r="B67" t="str" cm="1">
        <f t="array" ref="B67">_xlfn.IFNA(INDEX(Data!$D$1:$D$865,MATCH(1,("1+"&amp;$A67=Data!$A$1:$A$865)*(1236=Data!$B$1:$B$865),0)),"")</f>
        <v/>
      </c>
      <c r="C67" t="str" cm="1">
        <f t="array" ref="C67">_xlfn.IFNA(INDEX(Data!$D$1:$D$865,MATCH(1,("1+"&amp;$A67=Data!$A$1:$A$865)*(1237=Data!$B$1:$B$865),0)),"")</f>
        <v/>
      </c>
      <c r="D67" t="str" cm="1">
        <f t="array" ref="D67">_xlfn.IFNA(INDEX(Data!$D$1:$D$865,MATCH(1,("2+"&amp;$A67=Data!$A$1:$A$865)*(1236=Data!$B$1:$B$865),0)),"")</f>
        <v/>
      </c>
      <c r="E67" t="str" cm="1">
        <f t="array" ref="E67">_xlfn.IFNA(INDEX(Data!$D$1:$D$865,MATCH(1,("2+"&amp;$A67=Data!$A$1:$A$865)*(1237=Data!$B$1:$B$865),0)),"")</f>
        <v/>
      </c>
      <c r="F67" t="str" cm="1">
        <f t="array" ref="F67">_xlfn.IFNA(INDEX(Data!$D$1:$D$865,MATCH(1,("1+"&amp;$A67=Data!$A$1:$A$865)*(905=Data!$B$1:$B$865),0)),"")</f>
        <v/>
      </c>
      <c r="G67" t="str" cm="1">
        <f t="array" ref="G67">_xlfn.IFNA(INDEX(Data!$D$1:$D$865,MATCH(1,("1+"&amp;$A67=Data!$A$1:$A$865)*(906=Data!$B$1:$B$865),0)),"")</f>
        <v/>
      </c>
      <c r="H67" t="str" cm="1">
        <f t="array" ref="H67">_xlfn.IFNA(INDEX(Data!$D$1:$D$865,MATCH(1,("2+"&amp;$A67=Data!$A$1:$A$865)*(905=Data!$B$1:$B$865),0)),"")</f>
        <v/>
      </c>
      <c r="I67" t="str" cm="1">
        <f t="array" ref="I67">_xlfn.IFNA(INDEX(Data!$D$1:$D$865,MATCH(1,("2+"&amp;$A67=Data!$A$1:$A$865)*(906=Data!$B$1:$B$865),0)),"")</f>
        <v/>
      </c>
      <c r="J67" t="str">
        <f t="shared" si="0"/>
        <v/>
      </c>
      <c r="K67" t="str">
        <f t="shared" si="1"/>
        <v/>
      </c>
      <c r="L67" s="3" t="str">
        <f>_xlfn.IFNA(VLOOKUP($A67,'Cr4+'!$Y:$AB,2,FALSE),"")</f>
        <v/>
      </c>
      <c r="M67" s="3" t="str">
        <f>_xlfn.IFNA((VLOOKUP($A67,'Cr4+'!$Y:$AB,3,FALSE)),"")</f>
        <v/>
      </c>
      <c r="N67" s="3" t="str">
        <f>_xlfn.IFNA(VLOOKUP($A67,'Cr4+'!$Y:$AB,4,FALSE),"")</f>
        <v/>
      </c>
    </row>
    <row r="68" spans="2:14" x14ac:dyDescent="0.25">
      <c r="B68" t="str" cm="1">
        <f t="array" ref="B68">_xlfn.IFNA(INDEX(Data!$D$1:$D$865,MATCH(1,("1+"&amp;$A68=Data!$A$1:$A$865)*(1236=Data!$B$1:$B$865),0)),"")</f>
        <v/>
      </c>
      <c r="C68" t="str" cm="1">
        <f t="array" ref="C68">_xlfn.IFNA(INDEX(Data!$D$1:$D$865,MATCH(1,("1+"&amp;$A68=Data!$A$1:$A$865)*(1237=Data!$B$1:$B$865),0)),"")</f>
        <v/>
      </c>
      <c r="D68" t="str" cm="1">
        <f t="array" ref="D68">_xlfn.IFNA(INDEX(Data!$D$1:$D$865,MATCH(1,("2+"&amp;$A68=Data!$A$1:$A$865)*(1236=Data!$B$1:$B$865),0)),"")</f>
        <v/>
      </c>
      <c r="E68" t="str" cm="1">
        <f t="array" ref="E68">_xlfn.IFNA(INDEX(Data!$D$1:$D$865,MATCH(1,("2+"&amp;$A68=Data!$A$1:$A$865)*(1237=Data!$B$1:$B$865),0)),"")</f>
        <v/>
      </c>
      <c r="F68" t="str" cm="1">
        <f t="array" ref="F68">_xlfn.IFNA(INDEX(Data!$D$1:$D$865,MATCH(1,("1+"&amp;$A68=Data!$A$1:$A$865)*(905=Data!$B$1:$B$865),0)),"")</f>
        <v/>
      </c>
      <c r="G68" t="str" cm="1">
        <f t="array" ref="G68">_xlfn.IFNA(INDEX(Data!$D$1:$D$865,MATCH(1,("1+"&amp;$A68=Data!$A$1:$A$865)*(906=Data!$B$1:$B$865),0)),"")</f>
        <v/>
      </c>
      <c r="H68" t="str" cm="1">
        <f t="array" ref="H68">_xlfn.IFNA(INDEX(Data!$D$1:$D$865,MATCH(1,("2+"&amp;$A68=Data!$A$1:$A$865)*(905=Data!$B$1:$B$865),0)),"")</f>
        <v/>
      </c>
      <c r="I68" t="str" cm="1">
        <f t="array" ref="I68">_xlfn.IFNA(INDEX(Data!$D$1:$D$865,MATCH(1,("2+"&amp;$A68=Data!$A$1:$A$865)*(906=Data!$B$1:$B$865),0)),"")</f>
        <v/>
      </c>
      <c r="J68" t="str">
        <f t="shared" si="0"/>
        <v/>
      </c>
      <c r="K68" t="str">
        <f t="shared" si="1"/>
        <v/>
      </c>
      <c r="L68" s="3" t="str">
        <f>_xlfn.IFNA(VLOOKUP($A68,'Cr4+'!$Y:$AB,2,FALSE),"")</f>
        <v/>
      </c>
      <c r="M68" s="3" t="str">
        <f>_xlfn.IFNA((VLOOKUP($A68,'Cr4+'!$Y:$AB,3,FALSE)),"")</f>
        <v/>
      </c>
      <c r="N68" s="3" t="str">
        <f>_xlfn.IFNA(VLOOKUP($A68,'Cr4+'!$Y:$AB,4,FALSE),"")</f>
        <v/>
      </c>
    </row>
    <row r="69" spans="2:14" x14ac:dyDescent="0.25">
      <c r="B69" t="str" cm="1">
        <f t="array" ref="B69">_xlfn.IFNA(INDEX(Data!$D$1:$D$865,MATCH(1,("1+"&amp;$A69=Data!$A$1:$A$865)*(1236=Data!$B$1:$B$865),0)),"")</f>
        <v/>
      </c>
      <c r="C69" t="str" cm="1">
        <f t="array" ref="C69">_xlfn.IFNA(INDEX(Data!$D$1:$D$865,MATCH(1,("1+"&amp;$A69=Data!$A$1:$A$865)*(1237=Data!$B$1:$B$865),0)),"")</f>
        <v/>
      </c>
      <c r="D69" t="str" cm="1">
        <f t="array" ref="D69">_xlfn.IFNA(INDEX(Data!$D$1:$D$865,MATCH(1,("2+"&amp;$A69=Data!$A$1:$A$865)*(1236=Data!$B$1:$B$865),0)),"")</f>
        <v/>
      </c>
      <c r="E69" t="str" cm="1">
        <f t="array" ref="E69">_xlfn.IFNA(INDEX(Data!$D$1:$D$865,MATCH(1,("2+"&amp;$A69=Data!$A$1:$A$865)*(1237=Data!$B$1:$B$865),0)),"")</f>
        <v/>
      </c>
      <c r="F69" t="str" cm="1">
        <f t="array" ref="F69">_xlfn.IFNA(INDEX(Data!$D$1:$D$865,MATCH(1,("1+"&amp;$A69=Data!$A$1:$A$865)*(905=Data!$B$1:$B$865),0)),"")</f>
        <v/>
      </c>
      <c r="G69" t="str" cm="1">
        <f t="array" ref="G69">_xlfn.IFNA(INDEX(Data!$D$1:$D$865,MATCH(1,("1+"&amp;$A69=Data!$A$1:$A$865)*(906=Data!$B$1:$B$865),0)),"")</f>
        <v/>
      </c>
      <c r="H69" t="str" cm="1">
        <f t="array" ref="H69">_xlfn.IFNA(INDEX(Data!$D$1:$D$865,MATCH(1,("2+"&amp;$A69=Data!$A$1:$A$865)*(905=Data!$B$1:$B$865),0)),"")</f>
        <v/>
      </c>
      <c r="I69" t="str" cm="1">
        <f t="array" ref="I69">_xlfn.IFNA(INDEX(Data!$D$1:$D$865,MATCH(1,("2+"&amp;$A69=Data!$A$1:$A$865)*(906=Data!$B$1:$B$865),0)),"")</f>
        <v/>
      </c>
      <c r="J69" t="str">
        <f t="shared" ref="J69:J99" si="2">IFERROR(AVERAGE(F69:G69),"")</f>
        <v/>
      </c>
      <c r="K69" t="str">
        <f t="shared" ref="K69:K99" si="3">IFERROR(AVERAGE(H69:I69),"")</f>
        <v/>
      </c>
      <c r="L69" s="3" t="str">
        <f>_xlfn.IFNA(VLOOKUP($A69,'Cr4+'!$Y:$AB,2,FALSE),"")</f>
        <v/>
      </c>
      <c r="M69" s="3" t="str">
        <f>_xlfn.IFNA((VLOOKUP($A69,'Cr4+'!$Y:$AB,3,FALSE)),"")</f>
        <v/>
      </c>
      <c r="N69" s="3" t="str">
        <f>_xlfn.IFNA(VLOOKUP($A69,'Cr4+'!$Y:$AB,4,FALSE),"")</f>
        <v/>
      </c>
    </row>
    <row r="70" spans="2:14" x14ac:dyDescent="0.25">
      <c r="B70" t="str" cm="1">
        <f t="array" ref="B70">_xlfn.IFNA(INDEX(Data!$D$1:$D$865,MATCH(1,("1+"&amp;$A70=Data!$A$1:$A$865)*(1236=Data!$B$1:$B$865),0)),"")</f>
        <v/>
      </c>
      <c r="C70" t="str" cm="1">
        <f t="array" ref="C70">_xlfn.IFNA(INDEX(Data!$D$1:$D$865,MATCH(1,("1+"&amp;$A70=Data!$A$1:$A$865)*(1237=Data!$B$1:$B$865),0)),"")</f>
        <v/>
      </c>
      <c r="D70" t="str" cm="1">
        <f t="array" ref="D70">_xlfn.IFNA(INDEX(Data!$D$1:$D$865,MATCH(1,("2+"&amp;$A70=Data!$A$1:$A$865)*(1236=Data!$B$1:$B$865),0)),"")</f>
        <v/>
      </c>
      <c r="E70" t="str" cm="1">
        <f t="array" ref="E70">_xlfn.IFNA(INDEX(Data!$D$1:$D$865,MATCH(1,("2+"&amp;$A70=Data!$A$1:$A$865)*(1237=Data!$B$1:$B$865),0)),"")</f>
        <v/>
      </c>
      <c r="F70" t="str" cm="1">
        <f t="array" ref="F70">_xlfn.IFNA(INDEX(Data!$D$1:$D$865,MATCH(1,("1+"&amp;$A70=Data!$A$1:$A$865)*(905=Data!$B$1:$B$865),0)),"")</f>
        <v/>
      </c>
      <c r="G70" t="str" cm="1">
        <f t="array" ref="G70">_xlfn.IFNA(INDEX(Data!$D$1:$D$865,MATCH(1,("1+"&amp;$A70=Data!$A$1:$A$865)*(906=Data!$B$1:$B$865),0)),"")</f>
        <v/>
      </c>
      <c r="H70" t="str" cm="1">
        <f t="array" ref="H70">_xlfn.IFNA(INDEX(Data!$D$1:$D$865,MATCH(1,("2+"&amp;$A70=Data!$A$1:$A$865)*(905=Data!$B$1:$B$865),0)),"")</f>
        <v/>
      </c>
      <c r="I70" t="str" cm="1">
        <f t="array" ref="I70">_xlfn.IFNA(INDEX(Data!$D$1:$D$865,MATCH(1,("2+"&amp;$A70=Data!$A$1:$A$865)*(906=Data!$B$1:$B$865),0)),"")</f>
        <v/>
      </c>
      <c r="J70" t="str">
        <f t="shared" si="2"/>
        <v/>
      </c>
      <c r="K70" t="str">
        <f t="shared" si="3"/>
        <v/>
      </c>
      <c r="L70" s="3" t="str">
        <f>_xlfn.IFNA(VLOOKUP($A70,'Cr4+'!$Y:$AB,2,FALSE),"")</f>
        <v/>
      </c>
      <c r="M70" s="3" t="str">
        <f>_xlfn.IFNA((VLOOKUP($A70,'Cr4+'!$Y:$AB,3,FALSE)),"")</f>
        <v/>
      </c>
      <c r="N70" s="3" t="str">
        <f>_xlfn.IFNA(VLOOKUP($A70,'Cr4+'!$Y:$AB,4,FALSE),"")</f>
        <v/>
      </c>
    </row>
    <row r="71" spans="2:14" x14ac:dyDescent="0.25">
      <c r="B71" t="str" cm="1">
        <f t="array" ref="B71">_xlfn.IFNA(INDEX(Data!$D$1:$D$865,MATCH(1,("1+"&amp;$A71=Data!$A$1:$A$865)*(1236=Data!$B$1:$B$865),0)),"")</f>
        <v/>
      </c>
      <c r="C71" t="str" cm="1">
        <f t="array" ref="C71">_xlfn.IFNA(INDEX(Data!$D$1:$D$865,MATCH(1,("1+"&amp;$A71=Data!$A$1:$A$865)*(1237=Data!$B$1:$B$865),0)),"")</f>
        <v/>
      </c>
      <c r="D71" t="str" cm="1">
        <f t="array" ref="D71">_xlfn.IFNA(INDEX(Data!$D$1:$D$865,MATCH(1,("2+"&amp;$A71=Data!$A$1:$A$865)*(1236=Data!$B$1:$B$865),0)),"")</f>
        <v/>
      </c>
      <c r="E71" t="str" cm="1">
        <f t="array" ref="E71">_xlfn.IFNA(INDEX(Data!$D$1:$D$865,MATCH(1,("2+"&amp;$A71=Data!$A$1:$A$865)*(1237=Data!$B$1:$B$865),0)),"")</f>
        <v/>
      </c>
      <c r="F71" t="str" cm="1">
        <f t="array" ref="F71">_xlfn.IFNA(INDEX(Data!$D$1:$D$865,MATCH(1,("1+"&amp;$A71=Data!$A$1:$A$865)*(905=Data!$B$1:$B$865),0)),"")</f>
        <v/>
      </c>
      <c r="G71" t="str" cm="1">
        <f t="array" ref="G71">_xlfn.IFNA(INDEX(Data!$D$1:$D$865,MATCH(1,("1+"&amp;$A71=Data!$A$1:$A$865)*(906=Data!$B$1:$B$865),0)),"")</f>
        <v/>
      </c>
      <c r="H71" t="str" cm="1">
        <f t="array" ref="H71">_xlfn.IFNA(INDEX(Data!$D$1:$D$865,MATCH(1,("2+"&amp;$A71=Data!$A$1:$A$865)*(905=Data!$B$1:$B$865),0)),"")</f>
        <v/>
      </c>
      <c r="I71" t="str" cm="1">
        <f t="array" ref="I71">_xlfn.IFNA(INDEX(Data!$D$1:$D$865,MATCH(1,("2+"&amp;$A71=Data!$A$1:$A$865)*(906=Data!$B$1:$B$865),0)),"")</f>
        <v/>
      </c>
      <c r="J71" t="str">
        <f t="shared" si="2"/>
        <v/>
      </c>
      <c r="K71" t="str">
        <f t="shared" si="3"/>
        <v/>
      </c>
      <c r="L71" s="3" t="str">
        <f>_xlfn.IFNA(VLOOKUP($A71,'Cr4+'!$Y:$AB,2,FALSE),"")</f>
        <v/>
      </c>
      <c r="M71" s="3" t="str">
        <f>_xlfn.IFNA((VLOOKUP($A71,'Cr4+'!$Y:$AB,3,FALSE)),"")</f>
        <v/>
      </c>
      <c r="N71" s="3" t="str">
        <f>_xlfn.IFNA(VLOOKUP($A71,'Cr4+'!$Y:$AB,4,FALSE),"")</f>
        <v/>
      </c>
    </row>
    <row r="72" spans="2:14" x14ac:dyDescent="0.25">
      <c r="B72" t="str" cm="1">
        <f t="array" ref="B72">_xlfn.IFNA(INDEX(Data!$D$1:$D$865,MATCH(1,("1+"&amp;$A72=Data!$A$1:$A$865)*(1236=Data!$B$1:$B$865),0)),"")</f>
        <v/>
      </c>
      <c r="C72" t="str" cm="1">
        <f t="array" ref="C72">_xlfn.IFNA(INDEX(Data!$D$1:$D$865,MATCH(1,("1+"&amp;$A72=Data!$A$1:$A$865)*(1237=Data!$B$1:$B$865),0)),"")</f>
        <v/>
      </c>
      <c r="D72" t="str" cm="1">
        <f t="array" ref="D72">_xlfn.IFNA(INDEX(Data!$D$1:$D$865,MATCH(1,("2+"&amp;$A72=Data!$A$1:$A$865)*(1236=Data!$B$1:$B$865),0)),"")</f>
        <v/>
      </c>
      <c r="E72" t="str" cm="1">
        <f t="array" ref="E72">_xlfn.IFNA(INDEX(Data!$D$1:$D$865,MATCH(1,("2+"&amp;$A72=Data!$A$1:$A$865)*(1237=Data!$B$1:$B$865),0)),"")</f>
        <v/>
      </c>
      <c r="F72" t="str" cm="1">
        <f t="array" ref="F72">_xlfn.IFNA(INDEX(Data!$D$1:$D$865,MATCH(1,("1+"&amp;$A72=Data!$A$1:$A$865)*(905=Data!$B$1:$B$865),0)),"")</f>
        <v/>
      </c>
      <c r="G72" t="str" cm="1">
        <f t="array" ref="G72">_xlfn.IFNA(INDEX(Data!$D$1:$D$865,MATCH(1,("1+"&amp;$A72=Data!$A$1:$A$865)*(906=Data!$B$1:$B$865),0)),"")</f>
        <v/>
      </c>
      <c r="H72" t="str" cm="1">
        <f t="array" ref="H72">_xlfn.IFNA(INDEX(Data!$D$1:$D$865,MATCH(1,("2+"&amp;$A72=Data!$A$1:$A$865)*(905=Data!$B$1:$B$865),0)),"")</f>
        <v/>
      </c>
      <c r="I72" t="str" cm="1">
        <f t="array" ref="I72">_xlfn.IFNA(INDEX(Data!$D$1:$D$865,MATCH(1,("2+"&amp;$A72=Data!$A$1:$A$865)*(906=Data!$B$1:$B$865),0)),"")</f>
        <v/>
      </c>
      <c r="J72" t="str">
        <f t="shared" si="2"/>
        <v/>
      </c>
      <c r="K72" t="str">
        <f t="shared" si="3"/>
        <v/>
      </c>
      <c r="L72" s="3" t="str">
        <f>_xlfn.IFNA(VLOOKUP($A72,'Cr4+'!$Y:$AB,2,FALSE),"")</f>
        <v/>
      </c>
      <c r="M72" s="3" t="str">
        <f>_xlfn.IFNA((VLOOKUP($A72,'Cr4+'!$Y:$AB,3,FALSE)),"")</f>
        <v/>
      </c>
      <c r="N72" s="3" t="str">
        <f>_xlfn.IFNA(VLOOKUP($A72,'Cr4+'!$Y:$AB,4,FALSE),"")</f>
        <v/>
      </c>
    </row>
    <row r="73" spans="2:14" x14ac:dyDescent="0.25">
      <c r="B73" t="str" cm="1">
        <f t="array" ref="B73">_xlfn.IFNA(INDEX(Data!$D$1:$D$865,MATCH(1,("1+"&amp;$A73=Data!$A$1:$A$865)*(1236=Data!$B$1:$B$865),0)),"")</f>
        <v/>
      </c>
      <c r="C73" t="str" cm="1">
        <f t="array" ref="C73">_xlfn.IFNA(INDEX(Data!$D$1:$D$865,MATCH(1,("1+"&amp;$A73=Data!$A$1:$A$865)*(1237=Data!$B$1:$B$865),0)),"")</f>
        <v/>
      </c>
      <c r="D73" t="str" cm="1">
        <f t="array" ref="D73">_xlfn.IFNA(INDEX(Data!$D$1:$D$865,MATCH(1,("2+"&amp;$A73=Data!$A$1:$A$865)*(1236=Data!$B$1:$B$865),0)),"")</f>
        <v/>
      </c>
      <c r="E73" t="str" cm="1">
        <f t="array" ref="E73">_xlfn.IFNA(INDEX(Data!$D$1:$D$865,MATCH(1,("2+"&amp;$A73=Data!$A$1:$A$865)*(1237=Data!$B$1:$B$865),0)),"")</f>
        <v/>
      </c>
      <c r="F73" t="str" cm="1">
        <f t="array" ref="F73">_xlfn.IFNA(INDEX(Data!$D$1:$D$865,MATCH(1,("1+"&amp;$A73=Data!$A$1:$A$865)*(905=Data!$B$1:$B$865),0)),"")</f>
        <v/>
      </c>
      <c r="G73" t="str" cm="1">
        <f t="array" ref="G73">_xlfn.IFNA(INDEX(Data!$D$1:$D$865,MATCH(1,("1+"&amp;$A73=Data!$A$1:$A$865)*(906=Data!$B$1:$B$865),0)),"")</f>
        <v/>
      </c>
      <c r="H73" t="str" cm="1">
        <f t="array" ref="H73">_xlfn.IFNA(INDEX(Data!$D$1:$D$865,MATCH(1,("2+"&amp;$A73=Data!$A$1:$A$865)*(905=Data!$B$1:$B$865),0)),"")</f>
        <v/>
      </c>
      <c r="I73" t="str" cm="1">
        <f t="array" ref="I73">_xlfn.IFNA(INDEX(Data!$D$1:$D$865,MATCH(1,("2+"&amp;$A73=Data!$A$1:$A$865)*(906=Data!$B$1:$B$865),0)),"")</f>
        <v/>
      </c>
      <c r="J73" t="str">
        <f t="shared" si="2"/>
        <v/>
      </c>
      <c r="K73" t="str">
        <f t="shared" si="3"/>
        <v/>
      </c>
      <c r="L73" s="3" t="str">
        <f>_xlfn.IFNA(VLOOKUP($A73,'Cr4+'!$Y:$AB,2,FALSE),"")</f>
        <v/>
      </c>
      <c r="M73" s="3" t="str">
        <f>_xlfn.IFNA((VLOOKUP($A73,'Cr4+'!$Y:$AB,3,FALSE)),"")</f>
        <v/>
      </c>
      <c r="N73" s="3" t="str">
        <f>_xlfn.IFNA(VLOOKUP($A73,'Cr4+'!$Y:$AB,4,FALSE),"")</f>
        <v/>
      </c>
    </row>
    <row r="74" spans="2:14" x14ac:dyDescent="0.25">
      <c r="B74" t="str" cm="1">
        <f t="array" ref="B74">_xlfn.IFNA(INDEX(Data!$D$1:$D$865,MATCH(1,("1+"&amp;$A74=Data!$A$1:$A$865)*(1236=Data!$B$1:$B$865),0)),"")</f>
        <v/>
      </c>
      <c r="C74" t="str" cm="1">
        <f t="array" ref="C74">_xlfn.IFNA(INDEX(Data!$D$1:$D$865,MATCH(1,("1+"&amp;$A74=Data!$A$1:$A$865)*(1237=Data!$B$1:$B$865),0)),"")</f>
        <v/>
      </c>
      <c r="D74" t="str" cm="1">
        <f t="array" ref="D74">_xlfn.IFNA(INDEX(Data!$D$1:$D$865,MATCH(1,("2+"&amp;$A74=Data!$A$1:$A$865)*(1236=Data!$B$1:$B$865),0)),"")</f>
        <v/>
      </c>
      <c r="E74" t="str" cm="1">
        <f t="array" ref="E74">_xlfn.IFNA(INDEX(Data!$D$1:$D$865,MATCH(1,("2+"&amp;$A74=Data!$A$1:$A$865)*(1237=Data!$B$1:$B$865),0)),"")</f>
        <v/>
      </c>
      <c r="F74" t="str" cm="1">
        <f t="array" ref="F74">_xlfn.IFNA(INDEX(Data!$D$1:$D$865,MATCH(1,("1+"&amp;$A74=Data!$A$1:$A$865)*(905=Data!$B$1:$B$865),0)),"")</f>
        <v/>
      </c>
      <c r="G74" t="str" cm="1">
        <f t="array" ref="G74">_xlfn.IFNA(INDEX(Data!$D$1:$D$865,MATCH(1,("1+"&amp;$A74=Data!$A$1:$A$865)*(906=Data!$B$1:$B$865),0)),"")</f>
        <v/>
      </c>
      <c r="H74" t="str" cm="1">
        <f t="array" ref="H74">_xlfn.IFNA(INDEX(Data!$D$1:$D$865,MATCH(1,("2+"&amp;$A74=Data!$A$1:$A$865)*(905=Data!$B$1:$B$865),0)),"")</f>
        <v/>
      </c>
      <c r="I74" t="str" cm="1">
        <f t="array" ref="I74">_xlfn.IFNA(INDEX(Data!$D$1:$D$865,MATCH(1,("2+"&amp;$A74=Data!$A$1:$A$865)*(906=Data!$B$1:$B$865),0)),"")</f>
        <v/>
      </c>
      <c r="J74" t="str">
        <f t="shared" si="2"/>
        <v/>
      </c>
      <c r="K74" t="str">
        <f t="shared" si="3"/>
        <v/>
      </c>
      <c r="L74" s="3" t="str">
        <f>_xlfn.IFNA(VLOOKUP($A74,'Cr4+'!$Y:$AB,2,FALSE),"")</f>
        <v/>
      </c>
      <c r="M74" s="3" t="str">
        <f>_xlfn.IFNA((VLOOKUP($A74,'Cr4+'!$Y:$AB,3,FALSE)),"")</f>
        <v/>
      </c>
      <c r="N74" s="3" t="str">
        <f>_xlfn.IFNA(VLOOKUP($A74,'Cr4+'!$Y:$AB,4,FALSE),"")</f>
        <v/>
      </c>
    </row>
    <row r="75" spans="2:14" x14ac:dyDescent="0.25">
      <c r="B75" t="str" cm="1">
        <f t="array" ref="B75">_xlfn.IFNA(INDEX(Data!$D$1:$D$865,MATCH(1,("1+"&amp;$A75=Data!$A$1:$A$865)*(1236=Data!$B$1:$B$865),0)),"")</f>
        <v/>
      </c>
      <c r="C75" t="str" cm="1">
        <f t="array" ref="C75">_xlfn.IFNA(INDEX(Data!$D$1:$D$865,MATCH(1,("1+"&amp;$A75=Data!$A$1:$A$865)*(1237=Data!$B$1:$B$865),0)),"")</f>
        <v/>
      </c>
      <c r="D75" t="str" cm="1">
        <f t="array" ref="D75">_xlfn.IFNA(INDEX(Data!$D$1:$D$865,MATCH(1,("2+"&amp;$A75=Data!$A$1:$A$865)*(1236=Data!$B$1:$B$865),0)),"")</f>
        <v/>
      </c>
      <c r="E75" t="str" cm="1">
        <f t="array" ref="E75">_xlfn.IFNA(INDEX(Data!$D$1:$D$865,MATCH(1,("2+"&amp;$A75=Data!$A$1:$A$865)*(1237=Data!$B$1:$B$865),0)),"")</f>
        <v/>
      </c>
      <c r="F75" t="str" cm="1">
        <f t="array" ref="F75">_xlfn.IFNA(INDEX(Data!$D$1:$D$865,MATCH(1,("1+"&amp;$A75=Data!$A$1:$A$865)*(905=Data!$B$1:$B$865),0)),"")</f>
        <v/>
      </c>
      <c r="G75" t="str" cm="1">
        <f t="array" ref="G75">_xlfn.IFNA(INDEX(Data!$D$1:$D$865,MATCH(1,("1+"&amp;$A75=Data!$A$1:$A$865)*(906=Data!$B$1:$B$865),0)),"")</f>
        <v/>
      </c>
      <c r="H75" t="str" cm="1">
        <f t="array" ref="H75">_xlfn.IFNA(INDEX(Data!$D$1:$D$865,MATCH(1,("2+"&amp;$A75=Data!$A$1:$A$865)*(905=Data!$B$1:$B$865),0)),"")</f>
        <v/>
      </c>
      <c r="I75" t="str" cm="1">
        <f t="array" ref="I75">_xlfn.IFNA(INDEX(Data!$D$1:$D$865,MATCH(1,("2+"&amp;$A75=Data!$A$1:$A$865)*(906=Data!$B$1:$B$865),0)),"")</f>
        <v/>
      </c>
      <c r="J75" t="str">
        <f t="shared" si="2"/>
        <v/>
      </c>
      <c r="K75" t="str">
        <f t="shared" si="3"/>
        <v/>
      </c>
      <c r="L75" s="3" t="str">
        <f>_xlfn.IFNA(VLOOKUP($A75,'Cr4+'!$Y:$AB,2,FALSE),"")</f>
        <v/>
      </c>
      <c r="M75" s="3" t="str">
        <f>_xlfn.IFNA((VLOOKUP($A75,'Cr4+'!$Y:$AB,3,FALSE)),"")</f>
        <v/>
      </c>
      <c r="N75" s="3" t="str">
        <f>_xlfn.IFNA(VLOOKUP($A75,'Cr4+'!$Y:$AB,4,FALSE),"")</f>
        <v/>
      </c>
    </row>
    <row r="76" spans="2:14" x14ac:dyDescent="0.25">
      <c r="B76" t="str" cm="1">
        <f t="array" ref="B76">_xlfn.IFNA(INDEX(Data!$D$1:$D$865,MATCH(1,("1+"&amp;$A76=Data!$A$1:$A$865)*(1236=Data!$B$1:$B$865),0)),"")</f>
        <v/>
      </c>
      <c r="C76" t="str" cm="1">
        <f t="array" ref="C76">_xlfn.IFNA(INDEX(Data!$D$1:$D$865,MATCH(1,("1+"&amp;$A76=Data!$A$1:$A$865)*(1237=Data!$B$1:$B$865),0)),"")</f>
        <v/>
      </c>
      <c r="D76" t="str" cm="1">
        <f t="array" ref="D76">_xlfn.IFNA(INDEX(Data!$D$1:$D$865,MATCH(1,("2+"&amp;$A76=Data!$A$1:$A$865)*(1236=Data!$B$1:$B$865),0)),"")</f>
        <v/>
      </c>
      <c r="E76" t="str" cm="1">
        <f t="array" ref="E76">_xlfn.IFNA(INDEX(Data!$D$1:$D$865,MATCH(1,("2+"&amp;$A76=Data!$A$1:$A$865)*(1237=Data!$B$1:$B$865),0)),"")</f>
        <v/>
      </c>
      <c r="F76" t="str" cm="1">
        <f t="array" ref="F76">_xlfn.IFNA(INDEX(Data!$D$1:$D$865,MATCH(1,("1+"&amp;$A76=Data!$A$1:$A$865)*(905=Data!$B$1:$B$865),0)),"")</f>
        <v/>
      </c>
      <c r="G76" t="str" cm="1">
        <f t="array" ref="G76">_xlfn.IFNA(INDEX(Data!$D$1:$D$865,MATCH(1,("1+"&amp;$A76=Data!$A$1:$A$865)*(906=Data!$B$1:$B$865),0)),"")</f>
        <v/>
      </c>
      <c r="H76" t="str" cm="1">
        <f t="array" ref="H76">_xlfn.IFNA(INDEX(Data!$D$1:$D$865,MATCH(1,("2+"&amp;$A76=Data!$A$1:$A$865)*(905=Data!$B$1:$B$865),0)),"")</f>
        <v/>
      </c>
      <c r="I76" t="str" cm="1">
        <f t="array" ref="I76">_xlfn.IFNA(INDEX(Data!$D$1:$D$865,MATCH(1,("2+"&amp;$A76=Data!$A$1:$A$865)*(906=Data!$B$1:$B$865),0)),"")</f>
        <v/>
      </c>
      <c r="J76" t="str">
        <f t="shared" si="2"/>
        <v/>
      </c>
      <c r="K76" t="str">
        <f t="shared" si="3"/>
        <v/>
      </c>
      <c r="L76" s="3" t="str">
        <f>_xlfn.IFNA(VLOOKUP($A76,'Cr4+'!$Y:$AB,2,FALSE),"")</f>
        <v/>
      </c>
      <c r="M76" s="3" t="str">
        <f>_xlfn.IFNA((VLOOKUP($A76,'Cr4+'!$Y:$AB,3,FALSE)),"")</f>
        <v/>
      </c>
      <c r="N76" s="3" t="str">
        <f>_xlfn.IFNA(VLOOKUP($A76,'Cr4+'!$Y:$AB,4,FALSE),"")</f>
        <v/>
      </c>
    </row>
    <row r="77" spans="2:14" x14ac:dyDescent="0.25">
      <c r="B77" t="str" cm="1">
        <f t="array" ref="B77">_xlfn.IFNA(INDEX(Data!$D$1:$D$865,MATCH(1,("1+"&amp;$A77=Data!$A$1:$A$865)*(1236=Data!$B$1:$B$865),0)),"")</f>
        <v/>
      </c>
      <c r="C77" t="str" cm="1">
        <f t="array" ref="C77">_xlfn.IFNA(INDEX(Data!$D$1:$D$865,MATCH(1,("1+"&amp;$A77=Data!$A$1:$A$865)*(1237=Data!$B$1:$B$865),0)),"")</f>
        <v/>
      </c>
      <c r="D77" t="str" cm="1">
        <f t="array" ref="D77">_xlfn.IFNA(INDEX(Data!$D$1:$D$865,MATCH(1,("2+"&amp;$A77=Data!$A$1:$A$865)*(1236=Data!$B$1:$B$865),0)),"")</f>
        <v/>
      </c>
      <c r="E77" t="str" cm="1">
        <f t="array" ref="E77">_xlfn.IFNA(INDEX(Data!$D$1:$D$865,MATCH(1,("2+"&amp;$A77=Data!$A$1:$A$865)*(1237=Data!$B$1:$B$865),0)),"")</f>
        <v/>
      </c>
      <c r="F77" t="str" cm="1">
        <f t="array" ref="F77">_xlfn.IFNA(INDEX(Data!$D$1:$D$865,MATCH(1,("1+"&amp;$A77=Data!$A$1:$A$865)*(905=Data!$B$1:$B$865),0)),"")</f>
        <v/>
      </c>
      <c r="G77" t="str" cm="1">
        <f t="array" ref="G77">_xlfn.IFNA(INDEX(Data!$D$1:$D$865,MATCH(1,("1+"&amp;$A77=Data!$A$1:$A$865)*(906=Data!$B$1:$B$865),0)),"")</f>
        <v/>
      </c>
      <c r="H77" t="str" cm="1">
        <f t="array" ref="H77">_xlfn.IFNA(INDEX(Data!$D$1:$D$865,MATCH(1,("2+"&amp;$A77=Data!$A$1:$A$865)*(905=Data!$B$1:$B$865),0)),"")</f>
        <v/>
      </c>
      <c r="I77" t="str" cm="1">
        <f t="array" ref="I77">_xlfn.IFNA(INDEX(Data!$D$1:$D$865,MATCH(1,("2+"&amp;$A77=Data!$A$1:$A$865)*(906=Data!$B$1:$B$865),0)),"")</f>
        <v/>
      </c>
      <c r="J77" t="str">
        <f t="shared" si="2"/>
        <v/>
      </c>
      <c r="K77" t="str">
        <f t="shared" si="3"/>
        <v/>
      </c>
      <c r="L77" s="3" t="str">
        <f>_xlfn.IFNA(VLOOKUP($A77,'Cr4+'!$Y:$AB,2,FALSE),"")</f>
        <v/>
      </c>
      <c r="M77" s="3" t="str">
        <f>_xlfn.IFNA((VLOOKUP($A77,'Cr4+'!$Y:$AB,3,FALSE)),"")</f>
        <v/>
      </c>
      <c r="N77" s="3" t="str">
        <f>_xlfn.IFNA(VLOOKUP($A77,'Cr4+'!$Y:$AB,4,FALSE),"")</f>
        <v/>
      </c>
    </row>
    <row r="78" spans="2:14" x14ac:dyDescent="0.25">
      <c r="B78" t="str" cm="1">
        <f t="array" ref="B78">_xlfn.IFNA(INDEX(Data!$D$1:$D$865,MATCH(1,("1+"&amp;$A78=Data!$A$1:$A$865)*(1236=Data!$B$1:$B$865),0)),"")</f>
        <v/>
      </c>
      <c r="C78" t="str" cm="1">
        <f t="array" ref="C78">_xlfn.IFNA(INDEX(Data!$D$1:$D$865,MATCH(1,("1+"&amp;$A78=Data!$A$1:$A$865)*(1237=Data!$B$1:$B$865),0)),"")</f>
        <v/>
      </c>
      <c r="D78" t="str" cm="1">
        <f t="array" ref="D78">_xlfn.IFNA(INDEX(Data!$D$1:$D$865,MATCH(1,("2+"&amp;$A78=Data!$A$1:$A$865)*(1236=Data!$B$1:$B$865),0)),"")</f>
        <v/>
      </c>
      <c r="E78" t="str" cm="1">
        <f t="array" ref="E78">_xlfn.IFNA(INDEX(Data!$D$1:$D$865,MATCH(1,("2+"&amp;$A78=Data!$A$1:$A$865)*(1237=Data!$B$1:$B$865),0)),"")</f>
        <v/>
      </c>
      <c r="F78" t="str" cm="1">
        <f t="array" ref="F78">_xlfn.IFNA(INDEX(Data!$D$1:$D$865,MATCH(1,("1+"&amp;$A78=Data!$A$1:$A$865)*(905=Data!$B$1:$B$865),0)),"")</f>
        <v/>
      </c>
      <c r="G78" t="str" cm="1">
        <f t="array" ref="G78">_xlfn.IFNA(INDEX(Data!$D$1:$D$865,MATCH(1,("1+"&amp;$A78=Data!$A$1:$A$865)*(906=Data!$B$1:$B$865),0)),"")</f>
        <v/>
      </c>
      <c r="H78" t="str" cm="1">
        <f t="array" ref="H78">_xlfn.IFNA(INDEX(Data!$D$1:$D$865,MATCH(1,("2+"&amp;$A78=Data!$A$1:$A$865)*(905=Data!$B$1:$B$865),0)),"")</f>
        <v/>
      </c>
      <c r="I78" t="str" cm="1">
        <f t="array" ref="I78">_xlfn.IFNA(INDEX(Data!$D$1:$D$865,MATCH(1,("2+"&amp;$A78=Data!$A$1:$A$865)*(906=Data!$B$1:$B$865),0)),"")</f>
        <v/>
      </c>
      <c r="J78" t="str">
        <f t="shared" si="2"/>
        <v/>
      </c>
      <c r="K78" t="str">
        <f t="shared" si="3"/>
        <v/>
      </c>
      <c r="L78" s="3" t="str">
        <f>_xlfn.IFNA(VLOOKUP($A78,'Cr4+'!$Y:$AB,2,FALSE),"")</f>
        <v/>
      </c>
      <c r="M78" s="3" t="str">
        <f>_xlfn.IFNA((VLOOKUP($A78,'Cr4+'!$Y:$AB,3,FALSE)),"")</f>
        <v/>
      </c>
      <c r="N78" s="3" t="str">
        <f>_xlfn.IFNA(VLOOKUP($A78,'Cr4+'!$Y:$AB,4,FALSE),"")</f>
        <v/>
      </c>
    </row>
    <row r="79" spans="2:14" x14ac:dyDescent="0.25">
      <c r="B79" t="str" cm="1">
        <f t="array" ref="B79">_xlfn.IFNA(INDEX(Data!$D$1:$D$865,MATCH(1,("1+"&amp;$A79=Data!$A$1:$A$865)*(1236=Data!$B$1:$B$865),0)),"")</f>
        <v/>
      </c>
      <c r="C79" t="str" cm="1">
        <f t="array" ref="C79">_xlfn.IFNA(INDEX(Data!$D$1:$D$865,MATCH(1,("1+"&amp;$A79=Data!$A$1:$A$865)*(1237=Data!$B$1:$B$865),0)),"")</f>
        <v/>
      </c>
      <c r="D79" t="str" cm="1">
        <f t="array" ref="D79">_xlfn.IFNA(INDEX(Data!$D$1:$D$865,MATCH(1,("2+"&amp;$A79=Data!$A$1:$A$865)*(1236=Data!$B$1:$B$865),0)),"")</f>
        <v/>
      </c>
      <c r="E79" t="str" cm="1">
        <f t="array" ref="E79">_xlfn.IFNA(INDEX(Data!$D$1:$D$865,MATCH(1,("2+"&amp;$A79=Data!$A$1:$A$865)*(1237=Data!$B$1:$B$865),0)),"")</f>
        <v/>
      </c>
      <c r="F79" t="str" cm="1">
        <f t="array" ref="F79">_xlfn.IFNA(INDEX(Data!$D$1:$D$865,MATCH(1,("1+"&amp;$A79=Data!$A$1:$A$865)*(905=Data!$B$1:$B$865),0)),"")</f>
        <v/>
      </c>
      <c r="G79" t="str" cm="1">
        <f t="array" ref="G79">_xlfn.IFNA(INDEX(Data!$D$1:$D$865,MATCH(1,("1+"&amp;$A79=Data!$A$1:$A$865)*(906=Data!$B$1:$B$865),0)),"")</f>
        <v/>
      </c>
      <c r="H79" t="str" cm="1">
        <f t="array" ref="H79">_xlfn.IFNA(INDEX(Data!$D$1:$D$865,MATCH(1,("2+"&amp;$A79=Data!$A$1:$A$865)*(905=Data!$B$1:$B$865),0)),"")</f>
        <v/>
      </c>
      <c r="I79" t="str" cm="1">
        <f t="array" ref="I79">_xlfn.IFNA(INDEX(Data!$D$1:$D$865,MATCH(1,("2+"&amp;$A79=Data!$A$1:$A$865)*(906=Data!$B$1:$B$865),0)),"")</f>
        <v/>
      </c>
      <c r="J79" t="str">
        <f t="shared" si="2"/>
        <v/>
      </c>
      <c r="K79" t="str">
        <f t="shared" si="3"/>
        <v/>
      </c>
      <c r="L79" s="3" t="str">
        <f>_xlfn.IFNA(VLOOKUP($A79,'Cr4+'!$Y:$AB,2,FALSE),"")</f>
        <v/>
      </c>
      <c r="M79" s="3" t="str">
        <f>_xlfn.IFNA((VLOOKUP($A79,'Cr4+'!$Y:$AB,3,FALSE)),"")</f>
        <v/>
      </c>
      <c r="N79" s="3" t="str">
        <f>_xlfn.IFNA(VLOOKUP($A79,'Cr4+'!$Y:$AB,4,FALSE),"")</f>
        <v/>
      </c>
    </row>
    <row r="80" spans="2:14" x14ac:dyDescent="0.25">
      <c r="B80" t="str" cm="1">
        <f t="array" ref="B80">_xlfn.IFNA(INDEX(Data!$D$1:$D$865,MATCH(1,("1+"&amp;$A80=Data!$A$1:$A$865)*(1236=Data!$B$1:$B$865),0)),"")</f>
        <v/>
      </c>
      <c r="C80" t="str" cm="1">
        <f t="array" ref="C80">_xlfn.IFNA(INDEX(Data!$D$1:$D$865,MATCH(1,("1+"&amp;$A80=Data!$A$1:$A$865)*(1237=Data!$B$1:$B$865),0)),"")</f>
        <v/>
      </c>
      <c r="D80" t="str" cm="1">
        <f t="array" ref="D80">_xlfn.IFNA(INDEX(Data!$D$1:$D$865,MATCH(1,("2+"&amp;$A80=Data!$A$1:$A$865)*(1236=Data!$B$1:$B$865),0)),"")</f>
        <v/>
      </c>
      <c r="E80" t="str" cm="1">
        <f t="array" ref="E80">_xlfn.IFNA(INDEX(Data!$D$1:$D$865,MATCH(1,("2+"&amp;$A80=Data!$A$1:$A$865)*(1237=Data!$B$1:$B$865),0)),"")</f>
        <v/>
      </c>
      <c r="F80" t="str" cm="1">
        <f t="array" ref="F80">_xlfn.IFNA(INDEX(Data!$D$1:$D$865,MATCH(1,("1+"&amp;$A80=Data!$A$1:$A$865)*(905=Data!$B$1:$B$865),0)),"")</f>
        <v/>
      </c>
      <c r="G80" t="str" cm="1">
        <f t="array" ref="G80">_xlfn.IFNA(INDEX(Data!$D$1:$D$865,MATCH(1,("1+"&amp;$A80=Data!$A$1:$A$865)*(906=Data!$B$1:$B$865),0)),"")</f>
        <v/>
      </c>
      <c r="H80" t="str" cm="1">
        <f t="array" ref="H80">_xlfn.IFNA(INDEX(Data!$D$1:$D$865,MATCH(1,("2+"&amp;$A80=Data!$A$1:$A$865)*(905=Data!$B$1:$B$865),0)),"")</f>
        <v/>
      </c>
      <c r="I80" t="str" cm="1">
        <f t="array" ref="I80">_xlfn.IFNA(INDEX(Data!$D$1:$D$865,MATCH(1,("2+"&amp;$A80=Data!$A$1:$A$865)*(906=Data!$B$1:$B$865),0)),"")</f>
        <v/>
      </c>
      <c r="J80" t="str">
        <f t="shared" si="2"/>
        <v/>
      </c>
      <c r="K80" t="str">
        <f t="shared" si="3"/>
        <v/>
      </c>
      <c r="L80" s="3" t="str">
        <f>_xlfn.IFNA(VLOOKUP($A80,'Cr4+'!$Y:$AB,2,FALSE),"")</f>
        <v/>
      </c>
      <c r="M80" s="3" t="str">
        <f>_xlfn.IFNA((VLOOKUP($A80,'Cr4+'!$Y:$AB,3,FALSE)),"")</f>
        <v/>
      </c>
      <c r="N80" s="3" t="str">
        <f>_xlfn.IFNA(VLOOKUP($A80,'Cr4+'!$Y:$AB,4,FALSE),"")</f>
        <v/>
      </c>
    </row>
    <row r="81" spans="2:14" x14ac:dyDescent="0.25">
      <c r="B81" t="str" cm="1">
        <f t="array" ref="B81">_xlfn.IFNA(INDEX(Data!$D$1:$D$865,MATCH(1,("1+"&amp;$A81=Data!$A$1:$A$865)*(1236=Data!$B$1:$B$865),0)),"")</f>
        <v/>
      </c>
      <c r="C81" t="str" cm="1">
        <f t="array" ref="C81">_xlfn.IFNA(INDEX(Data!$D$1:$D$865,MATCH(1,("1+"&amp;$A81=Data!$A$1:$A$865)*(1237=Data!$B$1:$B$865),0)),"")</f>
        <v/>
      </c>
      <c r="D81" t="str" cm="1">
        <f t="array" ref="D81">_xlfn.IFNA(INDEX(Data!$D$1:$D$865,MATCH(1,("2+"&amp;$A81=Data!$A$1:$A$865)*(1236=Data!$B$1:$B$865),0)),"")</f>
        <v/>
      </c>
      <c r="E81" t="str" cm="1">
        <f t="array" ref="E81">_xlfn.IFNA(INDEX(Data!$D$1:$D$865,MATCH(1,("2+"&amp;$A81=Data!$A$1:$A$865)*(1237=Data!$B$1:$B$865),0)),"")</f>
        <v/>
      </c>
      <c r="F81" t="str" cm="1">
        <f t="array" ref="F81">_xlfn.IFNA(INDEX(Data!$D$1:$D$865,MATCH(1,("1+"&amp;$A81=Data!$A$1:$A$865)*(905=Data!$B$1:$B$865),0)),"")</f>
        <v/>
      </c>
      <c r="G81" t="str" cm="1">
        <f t="array" ref="G81">_xlfn.IFNA(INDEX(Data!$D$1:$D$865,MATCH(1,("1+"&amp;$A81=Data!$A$1:$A$865)*(906=Data!$B$1:$B$865),0)),"")</f>
        <v/>
      </c>
      <c r="H81" t="str" cm="1">
        <f t="array" ref="H81">_xlfn.IFNA(INDEX(Data!$D$1:$D$865,MATCH(1,("2+"&amp;$A81=Data!$A$1:$A$865)*(905=Data!$B$1:$B$865),0)),"")</f>
        <v/>
      </c>
      <c r="I81" t="str" cm="1">
        <f t="array" ref="I81">_xlfn.IFNA(INDEX(Data!$D$1:$D$865,MATCH(1,("2+"&amp;$A81=Data!$A$1:$A$865)*(906=Data!$B$1:$B$865),0)),"")</f>
        <v/>
      </c>
      <c r="J81" t="str">
        <f t="shared" si="2"/>
        <v/>
      </c>
      <c r="K81" t="str">
        <f t="shared" si="3"/>
        <v/>
      </c>
      <c r="L81" s="3" t="str">
        <f>_xlfn.IFNA(VLOOKUP($A81,'Cr4+'!$Y:$AB,2,FALSE),"")</f>
        <v/>
      </c>
      <c r="M81" s="3" t="str">
        <f>_xlfn.IFNA((VLOOKUP($A81,'Cr4+'!$Y:$AB,3,FALSE)),"")</f>
        <v/>
      </c>
      <c r="N81" s="3" t="str">
        <f>_xlfn.IFNA(VLOOKUP($A81,'Cr4+'!$Y:$AB,4,FALSE),"")</f>
        <v/>
      </c>
    </row>
    <row r="82" spans="2:14" x14ac:dyDescent="0.25">
      <c r="B82" t="str" cm="1">
        <f t="array" ref="B82">_xlfn.IFNA(INDEX(Data!$D$1:$D$865,MATCH(1,("1+"&amp;$A82=Data!$A$1:$A$865)*(1236=Data!$B$1:$B$865),0)),"")</f>
        <v/>
      </c>
      <c r="C82" t="str" cm="1">
        <f t="array" ref="C82">_xlfn.IFNA(INDEX(Data!$D$1:$D$865,MATCH(1,("1+"&amp;$A82=Data!$A$1:$A$865)*(1237=Data!$B$1:$B$865),0)),"")</f>
        <v/>
      </c>
      <c r="D82" t="str" cm="1">
        <f t="array" ref="D82">_xlfn.IFNA(INDEX(Data!$D$1:$D$865,MATCH(1,("2+"&amp;$A82=Data!$A$1:$A$865)*(1236=Data!$B$1:$B$865),0)),"")</f>
        <v/>
      </c>
      <c r="E82" t="str" cm="1">
        <f t="array" ref="E82">_xlfn.IFNA(INDEX(Data!$D$1:$D$865,MATCH(1,("2+"&amp;$A82=Data!$A$1:$A$865)*(1237=Data!$B$1:$B$865),0)),"")</f>
        <v/>
      </c>
      <c r="F82" t="str" cm="1">
        <f t="array" ref="F82">_xlfn.IFNA(INDEX(Data!$D$1:$D$865,MATCH(1,("1+"&amp;$A82=Data!$A$1:$A$865)*(905=Data!$B$1:$B$865),0)),"")</f>
        <v/>
      </c>
      <c r="G82" t="str" cm="1">
        <f t="array" ref="G82">_xlfn.IFNA(INDEX(Data!$D$1:$D$865,MATCH(1,("1+"&amp;$A82=Data!$A$1:$A$865)*(906=Data!$B$1:$B$865),0)),"")</f>
        <v/>
      </c>
      <c r="H82" t="str" cm="1">
        <f t="array" ref="H82">_xlfn.IFNA(INDEX(Data!$D$1:$D$865,MATCH(1,("2+"&amp;$A82=Data!$A$1:$A$865)*(905=Data!$B$1:$B$865),0)),"")</f>
        <v/>
      </c>
      <c r="I82" t="str" cm="1">
        <f t="array" ref="I82">_xlfn.IFNA(INDEX(Data!$D$1:$D$865,MATCH(1,("2+"&amp;$A82=Data!$A$1:$A$865)*(906=Data!$B$1:$B$865),0)),"")</f>
        <v/>
      </c>
      <c r="J82" t="str">
        <f t="shared" si="2"/>
        <v/>
      </c>
      <c r="K82" t="str">
        <f t="shared" si="3"/>
        <v/>
      </c>
      <c r="L82" s="3" t="str">
        <f>_xlfn.IFNA(VLOOKUP($A82,'Cr4+'!$Y:$AB,2,FALSE),"")</f>
        <v/>
      </c>
      <c r="M82" s="3" t="str">
        <f>_xlfn.IFNA((VLOOKUP($A82,'Cr4+'!$Y:$AB,3,FALSE)),"")</f>
        <v/>
      </c>
      <c r="N82" s="3" t="str">
        <f>_xlfn.IFNA(VLOOKUP($A82,'Cr4+'!$Y:$AB,4,FALSE),"")</f>
        <v/>
      </c>
    </row>
    <row r="83" spans="2:14" x14ac:dyDescent="0.25">
      <c r="B83" t="str" cm="1">
        <f t="array" ref="B83">_xlfn.IFNA(INDEX(Data!$D$1:$D$865,MATCH(1,("1+"&amp;$A83=Data!$A$1:$A$865)*(1236=Data!$B$1:$B$865),0)),"")</f>
        <v/>
      </c>
      <c r="C83" t="str" cm="1">
        <f t="array" ref="C83">_xlfn.IFNA(INDEX(Data!$D$1:$D$865,MATCH(1,("1+"&amp;$A83=Data!$A$1:$A$865)*(1237=Data!$B$1:$B$865),0)),"")</f>
        <v/>
      </c>
      <c r="D83" t="str" cm="1">
        <f t="array" ref="D83">_xlfn.IFNA(INDEX(Data!$D$1:$D$865,MATCH(1,("2+"&amp;$A83=Data!$A$1:$A$865)*(1236=Data!$B$1:$B$865),0)),"")</f>
        <v/>
      </c>
      <c r="E83" t="str" cm="1">
        <f t="array" ref="E83">_xlfn.IFNA(INDEX(Data!$D$1:$D$865,MATCH(1,("2+"&amp;$A83=Data!$A$1:$A$865)*(1237=Data!$B$1:$B$865),0)),"")</f>
        <v/>
      </c>
      <c r="F83" t="str" cm="1">
        <f t="array" ref="F83">_xlfn.IFNA(INDEX(Data!$D$1:$D$865,MATCH(1,("1+"&amp;$A83=Data!$A$1:$A$865)*(905=Data!$B$1:$B$865),0)),"")</f>
        <v/>
      </c>
      <c r="G83" t="str" cm="1">
        <f t="array" ref="G83">_xlfn.IFNA(INDEX(Data!$D$1:$D$865,MATCH(1,("1+"&amp;$A83=Data!$A$1:$A$865)*(906=Data!$B$1:$B$865),0)),"")</f>
        <v/>
      </c>
      <c r="H83" t="str" cm="1">
        <f t="array" ref="H83">_xlfn.IFNA(INDEX(Data!$D$1:$D$865,MATCH(1,("2+"&amp;$A83=Data!$A$1:$A$865)*(905=Data!$B$1:$B$865),0)),"")</f>
        <v/>
      </c>
      <c r="I83" t="str" cm="1">
        <f t="array" ref="I83">_xlfn.IFNA(INDEX(Data!$D$1:$D$865,MATCH(1,("2+"&amp;$A83=Data!$A$1:$A$865)*(906=Data!$B$1:$B$865),0)),"")</f>
        <v/>
      </c>
      <c r="J83" t="str">
        <f t="shared" si="2"/>
        <v/>
      </c>
      <c r="K83" t="str">
        <f t="shared" si="3"/>
        <v/>
      </c>
      <c r="L83" s="3" t="str">
        <f>_xlfn.IFNA(VLOOKUP($A83,'Cr4+'!$Y:$AB,2,FALSE),"")</f>
        <v/>
      </c>
      <c r="M83" s="3" t="str">
        <f>_xlfn.IFNA((VLOOKUP($A83,'Cr4+'!$Y:$AB,3,FALSE)),"")</f>
        <v/>
      </c>
      <c r="N83" s="3" t="str">
        <f>_xlfn.IFNA(VLOOKUP($A83,'Cr4+'!$Y:$AB,4,FALSE),"")</f>
        <v/>
      </c>
    </row>
    <row r="84" spans="2:14" x14ac:dyDescent="0.25">
      <c r="B84" t="str" cm="1">
        <f t="array" ref="B84">_xlfn.IFNA(INDEX(Data!$D$1:$D$865,MATCH(1,("1+"&amp;$A84=Data!$A$1:$A$865)*(1236=Data!$B$1:$B$865),0)),"")</f>
        <v/>
      </c>
      <c r="C84" t="str" cm="1">
        <f t="array" ref="C84">_xlfn.IFNA(INDEX(Data!$D$1:$D$865,MATCH(1,("1+"&amp;$A84=Data!$A$1:$A$865)*(1237=Data!$B$1:$B$865),0)),"")</f>
        <v/>
      </c>
      <c r="D84" t="str" cm="1">
        <f t="array" ref="D84">_xlfn.IFNA(INDEX(Data!$D$1:$D$865,MATCH(1,("2+"&amp;$A84=Data!$A$1:$A$865)*(1236=Data!$B$1:$B$865),0)),"")</f>
        <v/>
      </c>
      <c r="E84" t="str" cm="1">
        <f t="array" ref="E84">_xlfn.IFNA(INDEX(Data!$D$1:$D$865,MATCH(1,("2+"&amp;$A84=Data!$A$1:$A$865)*(1237=Data!$B$1:$B$865),0)),"")</f>
        <v/>
      </c>
      <c r="F84" t="str" cm="1">
        <f t="array" ref="F84">_xlfn.IFNA(INDEX(Data!$D$1:$D$865,MATCH(1,("1+"&amp;$A84=Data!$A$1:$A$865)*(905=Data!$B$1:$B$865),0)),"")</f>
        <v/>
      </c>
      <c r="G84" t="str" cm="1">
        <f t="array" ref="G84">_xlfn.IFNA(INDEX(Data!$D$1:$D$865,MATCH(1,("1+"&amp;$A84=Data!$A$1:$A$865)*(906=Data!$B$1:$B$865),0)),"")</f>
        <v/>
      </c>
      <c r="H84" t="str" cm="1">
        <f t="array" ref="H84">_xlfn.IFNA(INDEX(Data!$D$1:$D$865,MATCH(1,("2+"&amp;$A84=Data!$A$1:$A$865)*(905=Data!$B$1:$B$865),0)),"")</f>
        <v/>
      </c>
      <c r="I84" t="str" cm="1">
        <f t="array" ref="I84">_xlfn.IFNA(INDEX(Data!$D$1:$D$865,MATCH(1,("2+"&amp;$A84=Data!$A$1:$A$865)*(906=Data!$B$1:$B$865),0)),"")</f>
        <v/>
      </c>
      <c r="J84" t="str">
        <f t="shared" si="2"/>
        <v/>
      </c>
      <c r="K84" t="str">
        <f t="shared" si="3"/>
        <v/>
      </c>
      <c r="L84" s="3" t="str">
        <f>_xlfn.IFNA(VLOOKUP($A84,'Cr4+'!$Y:$AB,2,FALSE),"")</f>
        <v/>
      </c>
      <c r="M84" s="3" t="str">
        <f>_xlfn.IFNA((VLOOKUP($A84,'Cr4+'!$Y:$AB,3,FALSE)),"")</f>
        <v/>
      </c>
      <c r="N84" s="3" t="str">
        <f>_xlfn.IFNA(VLOOKUP($A84,'Cr4+'!$Y:$AB,4,FALSE),"")</f>
        <v/>
      </c>
    </row>
    <row r="85" spans="2:14" x14ac:dyDescent="0.25">
      <c r="B85" t="str" cm="1">
        <f t="array" ref="B85">_xlfn.IFNA(INDEX(Data!$D$1:$D$865,MATCH(1,("1+"&amp;$A85=Data!$A$1:$A$865)*(1236=Data!$B$1:$B$865),0)),"")</f>
        <v/>
      </c>
      <c r="C85" t="str" cm="1">
        <f t="array" ref="C85">_xlfn.IFNA(INDEX(Data!$D$1:$D$865,MATCH(1,("1+"&amp;$A85=Data!$A$1:$A$865)*(1237=Data!$B$1:$B$865),0)),"")</f>
        <v/>
      </c>
      <c r="D85" t="str" cm="1">
        <f t="array" ref="D85">_xlfn.IFNA(INDEX(Data!$D$1:$D$865,MATCH(1,("2+"&amp;$A85=Data!$A$1:$A$865)*(1236=Data!$B$1:$B$865),0)),"")</f>
        <v/>
      </c>
      <c r="E85" t="str" cm="1">
        <f t="array" ref="E85">_xlfn.IFNA(INDEX(Data!$D$1:$D$865,MATCH(1,("2+"&amp;$A85=Data!$A$1:$A$865)*(1237=Data!$B$1:$B$865),0)),"")</f>
        <v/>
      </c>
      <c r="F85" t="str" cm="1">
        <f t="array" ref="F85">_xlfn.IFNA(INDEX(Data!$D$1:$D$865,MATCH(1,("1+"&amp;$A85=Data!$A$1:$A$865)*(905=Data!$B$1:$B$865),0)),"")</f>
        <v/>
      </c>
      <c r="G85" t="str" cm="1">
        <f t="array" ref="G85">_xlfn.IFNA(INDEX(Data!$D$1:$D$865,MATCH(1,("1+"&amp;$A85=Data!$A$1:$A$865)*(906=Data!$B$1:$B$865),0)),"")</f>
        <v/>
      </c>
      <c r="H85" t="str" cm="1">
        <f t="array" ref="H85">_xlfn.IFNA(INDEX(Data!$D$1:$D$865,MATCH(1,("2+"&amp;$A85=Data!$A$1:$A$865)*(905=Data!$B$1:$B$865),0)),"")</f>
        <v/>
      </c>
      <c r="I85" t="str" cm="1">
        <f t="array" ref="I85">_xlfn.IFNA(INDEX(Data!$D$1:$D$865,MATCH(1,("2+"&amp;$A85=Data!$A$1:$A$865)*(906=Data!$B$1:$B$865),0)),"")</f>
        <v/>
      </c>
      <c r="J85" t="str">
        <f t="shared" si="2"/>
        <v/>
      </c>
      <c r="K85" t="str">
        <f t="shared" si="3"/>
        <v/>
      </c>
      <c r="L85" s="3" t="str">
        <f>_xlfn.IFNA(VLOOKUP($A85,'Cr4+'!$Y:$AB,2,FALSE),"")</f>
        <v/>
      </c>
      <c r="M85" s="3" t="str">
        <f>_xlfn.IFNA((VLOOKUP($A85,'Cr4+'!$Y:$AB,3,FALSE)),"")</f>
        <v/>
      </c>
      <c r="N85" s="3" t="str">
        <f>_xlfn.IFNA(VLOOKUP($A85,'Cr4+'!$Y:$AB,4,FALSE),"")</f>
        <v/>
      </c>
    </row>
    <row r="86" spans="2:14" x14ac:dyDescent="0.25">
      <c r="B86" t="str" cm="1">
        <f t="array" ref="B86">_xlfn.IFNA(INDEX(Data!$D$1:$D$865,MATCH(1,("1+"&amp;$A86=Data!$A$1:$A$865)*(1236=Data!$B$1:$B$865),0)),"")</f>
        <v/>
      </c>
      <c r="C86" t="str" cm="1">
        <f t="array" ref="C86">_xlfn.IFNA(INDEX(Data!$D$1:$D$865,MATCH(1,("1+"&amp;$A86=Data!$A$1:$A$865)*(1237=Data!$B$1:$B$865),0)),"")</f>
        <v/>
      </c>
      <c r="D86" t="str" cm="1">
        <f t="array" ref="D86">_xlfn.IFNA(INDEX(Data!$D$1:$D$865,MATCH(1,("2+"&amp;$A86=Data!$A$1:$A$865)*(1236=Data!$B$1:$B$865),0)),"")</f>
        <v/>
      </c>
      <c r="E86" t="str" cm="1">
        <f t="array" ref="E86">_xlfn.IFNA(INDEX(Data!$D$1:$D$865,MATCH(1,("2+"&amp;$A86=Data!$A$1:$A$865)*(1237=Data!$B$1:$B$865),0)),"")</f>
        <v/>
      </c>
      <c r="F86" t="str" cm="1">
        <f t="array" ref="F86">_xlfn.IFNA(INDEX(Data!$D$1:$D$865,MATCH(1,("1+"&amp;$A86=Data!$A$1:$A$865)*(905=Data!$B$1:$B$865),0)),"")</f>
        <v/>
      </c>
      <c r="G86" t="str" cm="1">
        <f t="array" ref="G86">_xlfn.IFNA(INDEX(Data!$D$1:$D$865,MATCH(1,("1+"&amp;$A86=Data!$A$1:$A$865)*(906=Data!$B$1:$B$865),0)),"")</f>
        <v/>
      </c>
      <c r="H86" t="str" cm="1">
        <f t="array" ref="H86">_xlfn.IFNA(INDEX(Data!$D$1:$D$865,MATCH(1,("2+"&amp;$A86=Data!$A$1:$A$865)*(905=Data!$B$1:$B$865),0)),"")</f>
        <v/>
      </c>
      <c r="I86" t="str" cm="1">
        <f t="array" ref="I86">_xlfn.IFNA(INDEX(Data!$D$1:$D$865,MATCH(1,("2+"&amp;$A86=Data!$A$1:$A$865)*(906=Data!$B$1:$B$865),0)),"")</f>
        <v/>
      </c>
      <c r="J86" t="str">
        <f t="shared" si="2"/>
        <v/>
      </c>
      <c r="K86" t="str">
        <f t="shared" si="3"/>
        <v/>
      </c>
      <c r="L86" s="3" t="str">
        <f>_xlfn.IFNA(VLOOKUP($A86,'Cr4+'!$Y:$AB,2,FALSE),"")</f>
        <v/>
      </c>
      <c r="M86" s="3" t="str">
        <f>_xlfn.IFNA((VLOOKUP($A86,'Cr4+'!$Y:$AB,3,FALSE)),"")</f>
        <v/>
      </c>
      <c r="N86" s="3" t="str">
        <f>_xlfn.IFNA(VLOOKUP($A86,'Cr4+'!$Y:$AB,4,FALSE),"")</f>
        <v/>
      </c>
    </row>
    <row r="87" spans="2:14" x14ac:dyDescent="0.25">
      <c r="B87" t="str" cm="1">
        <f t="array" ref="B87">_xlfn.IFNA(INDEX(Data!$D$1:$D$865,MATCH(1,("1+"&amp;$A87=Data!$A$1:$A$865)*(1236=Data!$B$1:$B$865),0)),"")</f>
        <v/>
      </c>
      <c r="C87" t="str" cm="1">
        <f t="array" ref="C87">_xlfn.IFNA(INDEX(Data!$D$1:$D$865,MATCH(1,("1+"&amp;$A87=Data!$A$1:$A$865)*(1237=Data!$B$1:$B$865),0)),"")</f>
        <v/>
      </c>
      <c r="D87" t="str" cm="1">
        <f t="array" ref="D87">_xlfn.IFNA(INDEX(Data!$D$1:$D$865,MATCH(1,("2+"&amp;$A87=Data!$A$1:$A$865)*(1236=Data!$B$1:$B$865),0)),"")</f>
        <v/>
      </c>
      <c r="E87" t="str" cm="1">
        <f t="array" ref="E87">_xlfn.IFNA(INDEX(Data!$D$1:$D$865,MATCH(1,("2+"&amp;$A87=Data!$A$1:$A$865)*(1237=Data!$B$1:$B$865),0)),"")</f>
        <v/>
      </c>
      <c r="F87" t="str" cm="1">
        <f t="array" ref="F87">_xlfn.IFNA(INDEX(Data!$D$1:$D$865,MATCH(1,("1+"&amp;$A87=Data!$A$1:$A$865)*(905=Data!$B$1:$B$865),0)),"")</f>
        <v/>
      </c>
      <c r="G87" t="str" cm="1">
        <f t="array" ref="G87">_xlfn.IFNA(INDEX(Data!$D$1:$D$865,MATCH(1,("1+"&amp;$A87=Data!$A$1:$A$865)*(906=Data!$B$1:$B$865),0)),"")</f>
        <v/>
      </c>
      <c r="H87" t="str" cm="1">
        <f t="array" ref="H87">_xlfn.IFNA(INDEX(Data!$D$1:$D$865,MATCH(1,("2+"&amp;$A87=Data!$A$1:$A$865)*(905=Data!$B$1:$B$865),0)),"")</f>
        <v/>
      </c>
      <c r="I87" t="str" cm="1">
        <f t="array" ref="I87">_xlfn.IFNA(INDEX(Data!$D$1:$D$865,MATCH(1,("2+"&amp;$A87=Data!$A$1:$A$865)*(906=Data!$B$1:$B$865),0)),"")</f>
        <v/>
      </c>
      <c r="J87" t="str">
        <f t="shared" si="2"/>
        <v/>
      </c>
      <c r="K87" t="str">
        <f t="shared" si="3"/>
        <v/>
      </c>
      <c r="L87" s="3" t="str">
        <f>_xlfn.IFNA(VLOOKUP($A87,'Cr4+'!$Y:$AB,2,FALSE),"")</f>
        <v/>
      </c>
      <c r="M87" s="3" t="str">
        <f>_xlfn.IFNA((VLOOKUP($A87,'Cr4+'!$Y:$AB,3,FALSE)),"")</f>
        <v/>
      </c>
      <c r="N87" s="3" t="str">
        <f>_xlfn.IFNA(VLOOKUP($A87,'Cr4+'!$Y:$AB,4,FALSE),"")</f>
        <v/>
      </c>
    </row>
    <row r="88" spans="2:14" x14ac:dyDescent="0.25">
      <c r="B88" t="str" cm="1">
        <f t="array" ref="B88">_xlfn.IFNA(INDEX(Data!$D$1:$D$865,MATCH(1,("1+"&amp;$A88=Data!$A$1:$A$865)*(1236=Data!$B$1:$B$865),0)),"")</f>
        <v/>
      </c>
      <c r="C88" t="str" cm="1">
        <f t="array" ref="C88">_xlfn.IFNA(INDEX(Data!$D$1:$D$865,MATCH(1,("1+"&amp;$A88=Data!$A$1:$A$865)*(1237=Data!$B$1:$B$865),0)),"")</f>
        <v/>
      </c>
      <c r="D88" t="str" cm="1">
        <f t="array" ref="D88">_xlfn.IFNA(INDEX(Data!$D$1:$D$865,MATCH(1,("2+"&amp;$A88=Data!$A$1:$A$865)*(1236=Data!$B$1:$B$865),0)),"")</f>
        <v/>
      </c>
      <c r="E88" t="str" cm="1">
        <f t="array" ref="E88">_xlfn.IFNA(INDEX(Data!$D$1:$D$865,MATCH(1,("2+"&amp;$A88=Data!$A$1:$A$865)*(1237=Data!$B$1:$B$865),0)),"")</f>
        <v/>
      </c>
      <c r="F88" t="str" cm="1">
        <f t="array" ref="F88">_xlfn.IFNA(INDEX(Data!$D$1:$D$865,MATCH(1,("1+"&amp;$A88=Data!$A$1:$A$865)*(905=Data!$B$1:$B$865),0)),"")</f>
        <v/>
      </c>
      <c r="G88" t="str" cm="1">
        <f t="array" ref="G88">_xlfn.IFNA(INDEX(Data!$D$1:$D$865,MATCH(1,("1+"&amp;$A88=Data!$A$1:$A$865)*(906=Data!$B$1:$B$865),0)),"")</f>
        <v/>
      </c>
      <c r="H88" t="str" cm="1">
        <f t="array" ref="H88">_xlfn.IFNA(INDEX(Data!$D$1:$D$865,MATCH(1,("2+"&amp;$A88=Data!$A$1:$A$865)*(905=Data!$B$1:$B$865),0)),"")</f>
        <v/>
      </c>
      <c r="I88" t="str" cm="1">
        <f t="array" ref="I88">_xlfn.IFNA(INDEX(Data!$D$1:$D$865,MATCH(1,("2+"&amp;$A88=Data!$A$1:$A$865)*(906=Data!$B$1:$B$865),0)),"")</f>
        <v/>
      </c>
      <c r="J88" t="str">
        <f t="shared" si="2"/>
        <v/>
      </c>
      <c r="K88" t="str">
        <f t="shared" si="3"/>
        <v/>
      </c>
      <c r="L88" s="3" t="str">
        <f>_xlfn.IFNA(VLOOKUP($A88,'Cr4+'!$Y:$AB,2,FALSE),"")</f>
        <v/>
      </c>
      <c r="M88" s="3" t="str">
        <f>_xlfn.IFNA((VLOOKUP($A88,'Cr4+'!$Y:$AB,3,FALSE)),"")</f>
        <v/>
      </c>
      <c r="N88" s="3" t="str">
        <f>_xlfn.IFNA(VLOOKUP($A88,'Cr4+'!$Y:$AB,4,FALSE),"")</f>
        <v/>
      </c>
    </row>
    <row r="89" spans="2:14" x14ac:dyDescent="0.25">
      <c r="B89" t="str" cm="1">
        <f t="array" ref="B89">_xlfn.IFNA(INDEX(Data!$D$1:$D$865,MATCH(1,("1+"&amp;$A89=Data!$A$1:$A$865)*(1236=Data!$B$1:$B$865),0)),"")</f>
        <v/>
      </c>
      <c r="C89" t="str" cm="1">
        <f t="array" ref="C89">_xlfn.IFNA(INDEX(Data!$D$1:$D$865,MATCH(1,("1+"&amp;$A89=Data!$A$1:$A$865)*(1237=Data!$B$1:$B$865),0)),"")</f>
        <v/>
      </c>
      <c r="D89" t="str" cm="1">
        <f t="array" ref="D89">_xlfn.IFNA(INDEX(Data!$D$1:$D$865,MATCH(1,("2+"&amp;$A89=Data!$A$1:$A$865)*(1236=Data!$B$1:$B$865),0)),"")</f>
        <v/>
      </c>
      <c r="E89" t="str" cm="1">
        <f t="array" ref="E89">_xlfn.IFNA(INDEX(Data!$D$1:$D$865,MATCH(1,("2+"&amp;$A89=Data!$A$1:$A$865)*(1237=Data!$B$1:$B$865),0)),"")</f>
        <v/>
      </c>
      <c r="F89" t="str" cm="1">
        <f t="array" ref="F89">_xlfn.IFNA(INDEX(Data!$D$1:$D$865,MATCH(1,("1+"&amp;$A89=Data!$A$1:$A$865)*(905=Data!$B$1:$B$865),0)),"")</f>
        <v/>
      </c>
      <c r="G89" t="str" cm="1">
        <f t="array" ref="G89">_xlfn.IFNA(INDEX(Data!$D$1:$D$865,MATCH(1,("1+"&amp;$A89=Data!$A$1:$A$865)*(906=Data!$B$1:$B$865),0)),"")</f>
        <v/>
      </c>
      <c r="H89" t="str" cm="1">
        <f t="array" ref="H89">_xlfn.IFNA(INDEX(Data!$D$1:$D$865,MATCH(1,("2+"&amp;$A89=Data!$A$1:$A$865)*(905=Data!$B$1:$B$865),0)),"")</f>
        <v/>
      </c>
      <c r="I89" t="str" cm="1">
        <f t="array" ref="I89">_xlfn.IFNA(INDEX(Data!$D$1:$D$865,MATCH(1,("2+"&amp;$A89=Data!$A$1:$A$865)*(906=Data!$B$1:$B$865),0)),"")</f>
        <v/>
      </c>
      <c r="J89" t="str">
        <f t="shared" si="2"/>
        <v/>
      </c>
      <c r="K89" t="str">
        <f t="shared" si="3"/>
        <v/>
      </c>
      <c r="L89" s="3" t="str">
        <f>_xlfn.IFNA(VLOOKUP($A89,'Cr4+'!$Y:$AB,2,FALSE),"")</f>
        <v/>
      </c>
      <c r="M89" s="3" t="str">
        <f>_xlfn.IFNA((VLOOKUP($A89,'Cr4+'!$Y:$AB,3,FALSE)),"")</f>
        <v/>
      </c>
      <c r="N89" s="3" t="str">
        <f>_xlfn.IFNA(VLOOKUP($A89,'Cr4+'!$Y:$AB,4,FALSE),"")</f>
        <v/>
      </c>
    </row>
    <row r="90" spans="2:14" x14ac:dyDescent="0.25">
      <c r="B90" t="str" cm="1">
        <f t="array" ref="B90">_xlfn.IFNA(INDEX(Data!$D$1:$D$865,MATCH(1,("1+"&amp;$A90=Data!$A$1:$A$865)*(1236=Data!$B$1:$B$865),0)),"")</f>
        <v/>
      </c>
      <c r="C90" t="str" cm="1">
        <f t="array" ref="C90">_xlfn.IFNA(INDEX(Data!$D$1:$D$865,MATCH(1,("1+"&amp;$A90=Data!$A$1:$A$865)*(1237=Data!$B$1:$B$865),0)),"")</f>
        <v/>
      </c>
      <c r="D90" t="str" cm="1">
        <f t="array" ref="D90">_xlfn.IFNA(INDEX(Data!$D$1:$D$865,MATCH(1,("2+"&amp;$A90=Data!$A$1:$A$865)*(1236=Data!$B$1:$B$865),0)),"")</f>
        <v/>
      </c>
      <c r="E90" t="str" cm="1">
        <f t="array" ref="E90">_xlfn.IFNA(INDEX(Data!$D$1:$D$865,MATCH(1,("2+"&amp;$A90=Data!$A$1:$A$865)*(1237=Data!$B$1:$B$865),0)),"")</f>
        <v/>
      </c>
      <c r="F90" t="str" cm="1">
        <f t="array" ref="F90">_xlfn.IFNA(INDEX(Data!$D$1:$D$865,MATCH(1,("1+"&amp;$A90=Data!$A$1:$A$865)*(905=Data!$B$1:$B$865),0)),"")</f>
        <v/>
      </c>
      <c r="G90" t="str" cm="1">
        <f t="array" ref="G90">_xlfn.IFNA(INDEX(Data!$D$1:$D$865,MATCH(1,("1+"&amp;$A90=Data!$A$1:$A$865)*(906=Data!$B$1:$B$865),0)),"")</f>
        <v/>
      </c>
      <c r="H90" t="str" cm="1">
        <f t="array" ref="H90">_xlfn.IFNA(INDEX(Data!$D$1:$D$865,MATCH(1,("2+"&amp;$A90=Data!$A$1:$A$865)*(905=Data!$B$1:$B$865),0)),"")</f>
        <v/>
      </c>
      <c r="I90" t="str" cm="1">
        <f t="array" ref="I90">_xlfn.IFNA(INDEX(Data!$D$1:$D$865,MATCH(1,("2+"&amp;$A90=Data!$A$1:$A$865)*(906=Data!$B$1:$B$865),0)),"")</f>
        <v/>
      </c>
      <c r="J90" t="str">
        <f t="shared" si="2"/>
        <v/>
      </c>
      <c r="K90" t="str">
        <f t="shared" si="3"/>
        <v/>
      </c>
      <c r="L90" s="3" t="str">
        <f>_xlfn.IFNA(VLOOKUP($A90,'Cr4+'!$Y:$AB,2,FALSE),"")</f>
        <v/>
      </c>
      <c r="M90" s="3" t="str">
        <f>_xlfn.IFNA((VLOOKUP($A90,'Cr4+'!$Y:$AB,3,FALSE)),"")</f>
        <v/>
      </c>
      <c r="N90" s="3" t="str">
        <f>_xlfn.IFNA(VLOOKUP($A90,'Cr4+'!$Y:$AB,4,FALSE),"")</f>
        <v/>
      </c>
    </row>
    <row r="91" spans="2:14" x14ac:dyDescent="0.25">
      <c r="B91" t="str" cm="1">
        <f t="array" ref="B91">_xlfn.IFNA(INDEX(Data!$D$1:$D$865,MATCH(1,("1+"&amp;$A91=Data!$A$1:$A$865)*(1236=Data!$B$1:$B$865),0)),"")</f>
        <v/>
      </c>
      <c r="C91" t="str" cm="1">
        <f t="array" ref="C91">_xlfn.IFNA(INDEX(Data!$D$1:$D$865,MATCH(1,("1+"&amp;$A91=Data!$A$1:$A$865)*(1237=Data!$B$1:$B$865),0)),"")</f>
        <v/>
      </c>
      <c r="D91" t="str" cm="1">
        <f t="array" ref="D91">_xlfn.IFNA(INDEX(Data!$D$1:$D$865,MATCH(1,("2+"&amp;$A91=Data!$A$1:$A$865)*(1236=Data!$B$1:$B$865),0)),"")</f>
        <v/>
      </c>
      <c r="E91" t="str" cm="1">
        <f t="array" ref="E91">_xlfn.IFNA(INDEX(Data!$D$1:$D$865,MATCH(1,("2+"&amp;$A91=Data!$A$1:$A$865)*(1237=Data!$B$1:$B$865),0)),"")</f>
        <v/>
      </c>
      <c r="F91" t="str" cm="1">
        <f t="array" ref="F91">_xlfn.IFNA(INDEX(Data!$D$1:$D$865,MATCH(1,("1+"&amp;$A91=Data!$A$1:$A$865)*(905=Data!$B$1:$B$865),0)),"")</f>
        <v/>
      </c>
      <c r="G91" t="str" cm="1">
        <f t="array" ref="G91">_xlfn.IFNA(INDEX(Data!$D$1:$D$865,MATCH(1,("1+"&amp;$A91=Data!$A$1:$A$865)*(906=Data!$B$1:$B$865),0)),"")</f>
        <v/>
      </c>
      <c r="H91" t="str" cm="1">
        <f t="array" ref="H91">_xlfn.IFNA(INDEX(Data!$D$1:$D$865,MATCH(1,("2+"&amp;$A91=Data!$A$1:$A$865)*(905=Data!$B$1:$B$865),0)),"")</f>
        <v/>
      </c>
      <c r="I91" t="str" cm="1">
        <f t="array" ref="I91">_xlfn.IFNA(INDEX(Data!$D$1:$D$865,MATCH(1,("2+"&amp;$A91=Data!$A$1:$A$865)*(906=Data!$B$1:$B$865),0)),"")</f>
        <v/>
      </c>
      <c r="J91" t="str">
        <f t="shared" si="2"/>
        <v/>
      </c>
      <c r="K91" t="str">
        <f t="shared" si="3"/>
        <v/>
      </c>
      <c r="L91" s="3" t="str">
        <f>_xlfn.IFNA(VLOOKUP($A91,'Cr4+'!$Y:$AB,2,FALSE),"")</f>
        <v/>
      </c>
      <c r="M91" s="3" t="str">
        <f>_xlfn.IFNA((VLOOKUP($A91,'Cr4+'!$Y:$AB,3,FALSE)),"")</f>
        <v/>
      </c>
      <c r="N91" s="3" t="str">
        <f>_xlfn.IFNA(VLOOKUP($A91,'Cr4+'!$Y:$AB,4,FALSE),"")</f>
        <v/>
      </c>
    </row>
    <row r="92" spans="2:14" x14ac:dyDescent="0.25">
      <c r="B92" t="str" cm="1">
        <f t="array" ref="B92">_xlfn.IFNA(INDEX(Data!$D$1:$D$865,MATCH(1,("1+"&amp;$A92=Data!$A$1:$A$865)*(1236=Data!$B$1:$B$865),0)),"")</f>
        <v/>
      </c>
      <c r="C92" t="str" cm="1">
        <f t="array" ref="C92">_xlfn.IFNA(INDEX(Data!$D$1:$D$865,MATCH(1,("1+"&amp;$A92=Data!$A$1:$A$865)*(1237=Data!$B$1:$B$865),0)),"")</f>
        <v/>
      </c>
      <c r="D92" t="str" cm="1">
        <f t="array" ref="D92">_xlfn.IFNA(INDEX(Data!$D$1:$D$865,MATCH(1,("2+"&amp;$A92=Data!$A$1:$A$865)*(1236=Data!$B$1:$B$865),0)),"")</f>
        <v/>
      </c>
      <c r="E92" t="str" cm="1">
        <f t="array" ref="E92">_xlfn.IFNA(INDEX(Data!$D$1:$D$865,MATCH(1,("2+"&amp;$A92=Data!$A$1:$A$865)*(1237=Data!$B$1:$B$865),0)),"")</f>
        <v/>
      </c>
      <c r="F92" t="str" cm="1">
        <f t="array" ref="F92">_xlfn.IFNA(INDEX(Data!$D$1:$D$865,MATCH(1,("1+"&amp;$A92=Data!$A$1:$A$865)*(905=Data!$B$1:$B$865),0)),"")</f>
        <v/>
      </c>
      <c r="G92" t="str" cm="1">
        <f t="array" ref="G92">_xlfn.IFNA(INDEX(Data!$D$1:$D$865,MATCH(1,("1+"&amp;$A92=Data!$A$1:$A$865)*(906=Data!$B$1:$B$865),0)),"")</f>
        <v/>
      </c>
      <c r="H92" t="str" cm="1">
        <f t="array" ref="H92">_xlfn.IFNA(INDEX(Data!$D$1:$D$865,MATCH(1,("2+"&amp;$A92=Data!$A$1:$A$865)*(905=Data!$B$1:$B$865),0)),"")</f>
        <v/>
      </c>
      <c r="I92" t="str" cm="1">
        <f t="array" ref="I92">_xlfn.IFNA(INDEX(Data!$D$1:$D$865,MATCH(1,("2+"&amp;$A92=Data!$A$1:$A$865)*(906=Data!$B$1:$B$865),0)),"")</f>
        <v/>
      </c>
      <c r="J92" t="str">
        <f t="shared" si="2"/>
        <v/>
      </c>
      <c r="K92" t="str">
        <f t="shared" si="3"/>
        <v/>
      </c>
      <c r="L92" s="3" t="str">
        <f>_xlfn.IFNA(VLOOKUP($A92,'Cr4+'!$Y:$AB,2,FALSE),"")</f>
        <v/>
      </c>
      <c r="M92" s="3" t="str">
        <f>_xlfn.IFNA((VLOOKUP($A92,'Cr4+'!$Y:$AB,3,FALSE)),"")</f>
        <v/>
      </c>
      <c r="N92" s="3" t="str">
        <f>_xlfn.IFNA(VLOOKUP($A92,'Cr4+'!$Y:$AB,4,FALSE),"")</f>
        <v/>
      </c>
    </row>
    <row r="93" spans="2:14" x14ac:dyDescent="0.25">
      <c r="B93" t="str" cm="1">
        <f t="array" ref="B93">_xlfn.IFNA(INDEX(Data!$D$1:$D$865,MATCH(1,("1+"&amp;$A93=Data!$A$1:$A$865)*(1236=Data!$B$1:$B$865),0)),"")</f>
        <v/>
      </c>
      <c r="C93" t="str" cm="1">
        <f t="array" ref="C93">_xlfn.IFNA(INDEX(Data!$D$1:$D$865,MATCH(1,("1+"&amp;$A93=Data!$A$1:$A$865)*(1237=Data!$B$1:$B$865),0)),"")</f>
        <v/>
      </c>
      <c r="D93" t="str" cm="1">
        <f t="array" ref="D93">_xlfn.IFNA(INDEX(Data!$D$1:$D$865,MATCH(1,("2+"&amp;$A93=Data!$A$1:$A$865)*(1236=Data!$B$1:$B$865),0)),"")</f>
        <v/>
      </c>
      <c r="E93" t="str" cm="1">
        <f t="array" ref="E93">_xlfn.IFNA(INDEX(Data!$D$1:$D$865,MATCH(1,("2+"&amp;$A93=Data!$A$1:$A$865)*(1237=Data!$B$1:$B$865),0)),"")</f>
        <v/>
      </c>
      <c r="F93" t="str" cm="1">
        <f t="array" ref="F93">_xlfn.IFNA(INDEX(Data!$D$1:$D$865,MATCH(1,("1+"&amp;$A93=Data!$A$1:$A$865)*(905=Data!$B$1:$B$865),0)),"")</f>
        <v/>
      </c>
      <c r="G93" t="str" cm="1">
        <f t="array" ref="G93">_xlfn.IFNA(INDEX(Data!$D$1:$D$865,MATCH(1,("1+"&amp;$A93=Data!$A$1:$A$865)*(906=Data!$B$1:$B$865),0)),"")</f>
        <v/>
      </c>
      <c r="H93" t="str" cm="1">
        <f t="array" ref="H93">_xlfn.IFNA(INDEX(Data!$D$1:$D$865,MATCH(1,("2+"&amp;$A93=Data!$A$1:$A$865)*(905=Data!$B$1:$B$865),0)),"")</f>
        <v/>
      </c>
      <c r="I93" t="str" cm="1">
        <f t="array" ref="I93">_xlfn.IFNA(INDEX(Data!$D$1:$D$865,MATCH(1,("2+"&amp;$A93=Data!$A$1:$A$865)*(906=Data!$B$1:$B$865),0)),"")</f>
        <v/>
      </c>
      <c r="J93" t="str">
        <f t="shared" si="2"/>
        <v/>
      </c>
      <c r="K93" t="str">
        <f t="shared" si="3"/>
        <v/>
      </c>
      <c r="L93" s="3" t="str">
        <f>_xlfn.IFNA(VLOOKUP($A93,'Cr4+'!$Y:$AB,2,FALSE),"")</f>
        <v/>
      </c>
      <c r="M93" s="3" t="str">
        <f>_xlfn.IFNA((VLOOKUP($A93,'Cr4+'!$Y:$AB,3,FALSE)),"")</f>
        <v/>
      </c>
      <c r="N93" s="3" t="str">
        <f>_xlfn.IFNA(VLOOKUP($A93,'Cr4+'!$Y:$AB,4,FALSE),"")</f>
        <v/>
      </c>
    </row>
    <row r="94" spans="2:14" x14ac:dyDescent="0.25">
      <c r="B94" t="str" cm="1">
        <f t="array" ref="B94">_xlfn.IFNA(INDEX(Data!$D$1:$D$865,MATCH(1,("1+"&amp;$A94=Data!$A$1:$A$865)*(1236=Data!$B$1:$B$865),0)),"")</f>
        <v/>
      </c>
      <c r="C94" t="str" cm="1">
        <f t="array" ref="C94">_xlfn.IFNA(INDEX(Data!$D$1:$D$865,MATCH(1,("1+"&amp;$A94=Data!$A$1:$A$865)*(1237=Data!$B$1:$B$865),0)),"")</f>
        <v/>
      </c>
      <c r="D94" t="str" cm="1">
        <f t="array" ref="D94">_xlfn.IFNA(INDEX(Data!$D$1:$D$865,MATCH(1,("2+"&amp;$A94=Data!$A$1:$A$865)*(1236=Data!$B$1:$B$865),0)),"")</f>
        <v/>
      </c>
      <c r="E94" t="str" cm="1">
        <f t="array" ref="E94">_xlfn.IFNA(INDEX(Data!$D$1:$D$865,MATCH(1,("2+"&amp;$A94=Data!$A$1:$A$865)*(1237=Data!$B$1:$B$865),0)),"")</f>
        <v/>
      </c>
      <c r="F94" t="str" cm="1">
        <f t="array" ref="F94">_xlfn.IFNA(INDEX(Data!$D$1:$D$865,MATCH(1,("1+"&amp;$A94=Data!$A$1:$A$865)*(905=Data!$B$1:$B$865),0)),"")</f>
        <v/>
      </c>
      <c r="G94" t="str" cm="1">
        <f t="array" ref="G94">_xlfn.IFNA(INDEX(Data!$D$1:$D$865,MATCH(1,("1+"&amp;$A94=Data!$A$1:$A$865)*(906=Data!$B$1:$B$865),0)),"")</f>
        <v/>
      </c>
      <c r="H94" t="str" cm="1">
        <f t="array" ref="H94">_xlfn.IFNA(INDEX(Data!$D$1:$D$865,MATCH(1,("2+"&amp;$A94=Data!$A$1:$A$865)*(905=Data!$B$1:$B$865),0)),"")</f>
        <v/>
      </c>
      <c r="I94" t="str" cm="1">
        <f t="array" ref="I94">_xlfn.IFNA(INDEX(Data!$D$1:$D$865,MATCH(1,("2+"&amp;$A94=Data!$A$1:$A$865)*(906=Data!$B$1:$B$865),0)),"")</f>
        <v/>
      </c>
      <c r="J94" t="str">
        <f t="shared" si="2"/>
        <v/>
      </c>
      <c r="K94" t="str">
        <f t="shared" si="3"/>
        <v/>
      </c>
      <c r="L94" s="3" t="str">
        <f>_xlfn.IFNA(VLOOKUP($A94,'Cr4+'!$Y:$AB,2,FALSE),"")</f>
        <v/>
      </c>
      <c r="M94" s="3" t="str">
        <f>_xlfn.IFNA((VLOOKUP($A94,'Cr4+'!$Y:$AB,3,FALSE)),"")</f>
        <v/>
      </c>
      <c r="N94" s="3" t="str">
        <f>_xlfn.IFNA(VLOOKUP($A94,'Cr4+'!$Y:$AB,4,FALSE),"")</f>
        <v/>
      </c>
    </row>
    <row r="95" spans="2:14" x14ac:dyDescent="0.25">
      <c r="B95" t="str" cm="1">
        <f t="array" ref="B95">_xlfn.IFNA(INDEX(Data!$D$1:$D$865,MATCH(1,("1+"&amp;$A95=Data!$A$1:$A$865)*(1236=Data!$B$1:$B$865),0)),"")</f>
        <v/>
      </c>
      <c r="C95" t="str" cm="1">
        <f t="array" ref="C95">_xlfn.IFNA(INDEX(Data!$D$1:$D$865,MATCH(1,("1+"&amp;$A95=Data!$A$1:$A$865)*(1237=Data!$B$1:$B$865),0)),"")</f>
        <v/>
      </c>
      <c r="D95" t="str" cm="1">
        <f t="array" ref="D95">_xlfn.IFNA(INDEX(Data!$D$1:$D$865,MATCH(1,("2+"&amp;$A95=Data!$A$1:$A$865)*(1236=Data!$B$1:$B$865),0)),"")</f>
        <v/>
      </c>
      <c r="E95" t="str" cm="1">
        <f t="array" ref="E95">_xlfn.IFNA(INDEX(Data!$D$1:$D$865,MATCH(1,("2+"&amp;$A95=Data!$A$1:$A$865)*(1237=Data!$B$1:$B$865),0)),"")</f>
        <v/>
      </c>
      <c r="F95" t="str" cm="1">
        <f t="array" ref="F95">_xlfn.IFNA(INDEX(Data!$D$1:$D$865,MATCH(1,("1+"&amp;$A95=Data!$A$1:$A$865)*(905=Data!$B$1:$B$865),0)),"")</f>
        <v/>
      </c>
      <c r="G95" t="str" cm="1">
        <f t="array" ref="G95">_xlfn.IFNA(INDEX(Data!$D$1:$D$865,MATCH(1,("1+"&amp;$A95=Data!$A$1:$A$865)*(906=Data!$B$1:$B$865),0)),"")</f>
        <v/>
      </c>
      <c r="H95" t="str" cm="1">
        <f t="array" ref="H95">_xlfn.IFNA(INDEX(Data!$D$1:$D$865,MATCH(1,("2+"&amp;$A95=Data!$A$1:$A$865)*(905=Data!$B$1:$B$865),0)),"")</f>
        <v/>
      </c>
      <c r="I95" t="str" cm="1">
        <f t="array" ref="I95">_xlfn.IFNA(INDEX(Data!$D$1:$D$865,MATCH(1,("2+"&amp;$A95=Data!$A$1:$A$865)*(906=Data!$B$1:$B$865),0)),"")</f>
        <v/>
      </c>
      <c r="J95" t="str">
        <f t="shared" si="2"/>
        <v/>
      </c>
      <c r="K95" t="str">
        <f t="shared" si="3"/>
        <v/>
      </c>
      <c r="L95" s="3" t="str">
        <f>_xlfn.IFNA(VLOOKUP($A95,'Cr4+'!$Y:$AB,2,FALSE),"")</f>
        <v/>
      </c>
      <c r="M95" s="3" t="str">
        <f>_xlfn.IFNA((VLOOKUP($A95,'Cr4+'!$Y:$AB,3,FALSE)),"")</f>
        <v/>
      </c>
      <c r="N95" s="3" t="str">
        <f>_xlfn.IFNA(VLOOKUP($A95,'Cr4+'!$Y:$AB,4,FALSE),"")</f>
        <v/>
      </c>
    </row>
    <row r="96" spans="2:14" x14ac:dyDescent="0.25">
      <c r="B96" t="str" cm="1">
        <f t="array" ref="B96">_xlfn.IFNA(INDEX(Data!$D$1:$D$865,MATCH(1,("1+"&amp;$A96=Data!$A$1:$A$865)*(1236=Data!$B$1:$B$865),0)),"")</f>
        <v/>
      </c>
      <c r="C96" t="str" cm="1">
        <f t="array" ref="C96">_xlfn.IFNA(INDEX(Data!$D$1:$D$865,MATCH(1,("1+"&amp;$A96=Data!$A$1:$A$865)*(1237=Data!$B$1:$B$865),0)),"")</f>
        <v/>
      </c>
      <c r="D96" t="str" cm="1">
        <f t="array" ref="D96">_xlfn.IFNA(INDEX(Data!$D$1:$D$865,MATCH(1,("2+"&amp;$A96=Data!$A$1:$A$865)*(1236=Data!$B$1:$B$865),0)),"")</f>
        <v/>
      </c>
      <c r="E96" t="str" cm="1">
        <f t="array" ref="E96">_xlfn.IFNA(INDEX(Data!$D$1:$D$865,MATCH(1,("2+"&amp;$A96=Data!$A$1:$A$865)*(1237=Data!$B$1:$B$865),0)),"")</f>
        <v/>
      </c>
      <c r="F96" t="str" cm="1">
        <f t="array" ref="F96">_xlfn.IFNA(INDEX(Data!$D$1:$D$865,MATCH(1,("1+"&amp;$A96=Data!$A$1:$A$865)*(905=Data!$B$1:$B$865),0)),"")</f>
        <v/>
      </c>
      <c r="G96" t="str" cm="1">
        <f t="array" ref="G96">_xlfn.IFNA(INDEX(Data!$D$1:$D$865,MATCH(1,("1+"&amp;$A96=Data!$A$1:$A$865)*(906=Data!$B$1:$B$865),0)),"")</f>
        <v/>
      </c>
      <c r="H96" t="str" cm="1">
        <f t="array" ref="H96">_xlfn.IFNA(INDEX(Data!$D$1:$D$865,MATCH(1,("2+"&amp;$A96=Data!$A$1:$A$865)*(905=Data!$B$1:$B$865),0)),"")</f>
        <v/>
      </c>
      <c r="I96" t="str" cm="1">
        <f t="array" ref="I96">_xlfn.IFNA(INDEX(Data!$D$1:$D$865,MATCH(1,("2+"&amp;$A96=Data!$A$1:$A$865)*(906=Data!$B$1:$B$865),0)),"")</f>
        <v/>
      </c>
      <c r="J96" t="str">
        <f t="shared" si="2"/>
        <v/>
      </c>
      <c r="K96" t="str">
        <f t="shared" si="3"/>
        <v/>
      </c>
      <c r="L96" s="3" t="str">
        <f>_xlfn.IFNA(VLOOKUP($A96,'Cr4+'!$Y:$AB,2,FALSE),"")</f>
        <v/>
      </c>
      <c r="M96" s="3" t="str">
        <f>_xlfn.IFNA((VLOOKUP($A96,'Cr4+'!$Y:$AB,3,FALSE)),"")</f>
        <v/>
      </c>
      <c r="N96" s="3" t="str">
        <f>_xlfn.IFNA(VLOOKUP($A96,'Cr4+'!$Y:$AB,4,FALSE),"")</f>
        <v/>
      </c>
    </row>
    <row r="97" spans="2:14" x14ac:dyDescent="0.25">
      <c r="B97" t="str" cm="1">
        <f t="array" ref="B97">_xlfn.IFNA(INDEX(Data!$D$1:$D$865,MATCH(1,("1+"&amp;$A97=Data!$A$1:$A$865)*(1236=Data!$B$1:$B$865),0)),"")</f>
        <v/>
      </c>
      <c r="C97" t="str" cm="1">
        <f t="array" ref="C97">_xlfn.IFNA(INDEX(Data!$D$1:$D$865,MATCH(1,("1+"&amp;$A97=Data!$A$1:$A$865)*(1237=Data!$B$1:$B$865),0)),"")</f>
        <v/>
      </c>
      <c r="D97" t="str" cm="1">
        <f t="array" ref="D97">_xlfn.IFNA(INDEX(Data!$D$1:$D$865,MATCH(1,("2+"&amp;$A97=Data!$A$1:$A$865)*(1236=Data!$B$1:$B$865),0)),"")</f>
        <v/>
      </c>
      <c r="E97" t="str" cm="1">
        <f t="array" ref="E97">_xlfn.IFNA(INDEX(Data!$D$1:$D$865,MATCH(1,("2+"&amp;$A97=Data!$A$1:$A$865)*(1237=Data!$B$1:$B$865),0)),"")</f>
        <v/>
      </c>
      <c r="F97" t="str" cm="1">
        <f t="array" ref="F97">_xlfn.IFNA(INDEX(Data!$D$1:$D$865,MATCH(1,("1+"&amp;$A97=Data!$A$1:$A$865)*(905=Data!$B$1:$B$865),0)),"")</f>
        <v/>
      </c>
      <c r="G97" t="str" cm="1">
        <f t="array" ref="G97">_xlfn.IFNA(INDEX(Data!$D$1:$D$865,MATCH(1,("1+"&amp;$A97=Data!$A$1:$A$865)*(906=Data!$B$1:$B$865),0)),"")</f>
        <v/>
      </c>
      <c r="H97" t="str" cm="1">
        <f t="array" ref="H97">_xlfn.IFNA(INDEX(Data!$D$1:$D$865,MATCH(1,("2+"&amp;$A97=Data!$A$1:$A$865)*(905=Data!$B$1:$B$865),0)),"")</f>
        <v/>
      </c>
      <c r="I97" t="str" cm="1">
        <f t="array" ref="I97">_xlfn.IFNA(INDEX(Data!$D$1:$D$865,MATCH(1,("2+"&amp;$A97=Data!$A$1:$A$865)*(906=Data!$B$1:$B$865),0)),"")</f>
        <v/>
      </c>
      <c r="J97" t="str">
        <f t="shared" si="2"/>
        <v/>
      </c>
      <c r="K97" t="str">
        <f t="shared" si="3"/>
        <v/>
      </c>
      <c r="L97" s="3" t="str">
        <f>_xlfn.IFNA(VLOOKUP($A97,'Cr4+'!$Y:$AB,2,FALSE),"")</f>
        <v/>
      </c>
      <c r="M97" s="3" t="str">
        <f>_xlfn.IFNA((VLOOKUP($A97,'Cr4+'!$Y:$AB,3,FALSE)),"")</f>
        <v/>
      </c>
      <c r="N97" s="3" t="str">
        <f>_xlfn.IFNA(VLOOKUP($A97,'Cr4+'!$Y:$AB,4,FALSE),"")</f>
        <v/>
      </c>
    </row>
    <row r="98" spans="2:14" x14ac:dyDescent="0.25">
      <c r="B98" t="str" cm="1">
        <f t="array" ref="B98">_xlfn.IFNA(INDEX(Data!$D$1:$D$865,MATCH(1,("1+"&amp;$A98=Data!$A$1:$A$865)*(1236=Data!$B$1:$B$865),0)),"")</f>
        <v/>
      </c>
      <c r="C98" t="str" cm="1">
        <f t="array" ref="C98">_xlfn.IFNA(INDEX(Data!$D$1:$D$865,MATCH(1,("1+"&amp;$A98=Data!$A$1:$A$865)*(1237=Data!$B$1:$B$865),0)),"")</f>
        <v/>
      </c>
      <c r="D98" t="str" cm="1">
        <f t="array" ref="D98">_xlfn.IFNA(INDEX(Data!$D$1:$D$865,MATCH(1,("2+"&amp;$A98=Data!$A$1:$A$865)*(1236=Data!$B$1:$B$865),0)),"")</f>
        <v/>
      </c>
      <c r="E98" t="str" cm="1">
        <f t="array" ref="E98">_xlfn.IFNA(INDEX(Data!$D$1:$D$865,MATCH(1,("2+"&amp;$A98=Data!$A$1:$A$865)*(1237=Data!$B$1:$B$865),0)),"")</f>
        <v/>
      </c>
      <c r="F98" t="str" cm="1">
        <f t="array" ref="F98">_xlfn.IFNA(INDEX(Data!$D$1:$D$865,MATCH(1,("1+"&amp;$A98=Data!$A$1:$A$865)*(905=Data!$B$1:$B$865),0)),"")</f>
        <v/>
      </c>
      <c r="G98" t="str" cm="1">
        <f t="array" ref="G98">_xlfn.IFNA(INDEX(Data!$D$1:$D$865,MATCH(1,("1+"&amp;$A98=Data!$A$1:$A$865)*(906=Data!$B$1:$B$865),0)),"")</f>
        <v/>
      </c>
      <c r="H98" t="str" cm="1">
        <f t="array" ref="H98">_xlfn.IFNA(INDEX(Data!$D$1:$D$865,MATCH(1,("2+"&amp;$A98=Data!$A$1:$A$865)*(905=Data!$B$1:$B$865),0)),"")</f>
        <v/>
      </c>
      <c r="I98" t="str" cm="1">
        <f t="array" ref="I98">_xlfn.IFNA(INDEX(Data!$D$1:$D$865,MATCH(1,("2+"&amp;$A98=Data!$A$1:$A$865)*(906=Data!$B$1:$B$865),0)),"")</f>
        <v/>
      </c>
      <c r="J98" t="str">
        <f t="shared" si="2"/>
        <v/>
      </c>
      <c r="K98" t="str">
        <f t="shared" si="3"/>
        <v/>
      </c>
      <c r="L98" s="3" t="str">
        <f>_xlfn.IFNA(VLOOKUP($A98,'Cr4+'!$Y:$AB,2,FALSE),"")</f>
        <v/>
      </c>
      <c r="M98" s="3" t="str">
        <f>_xlfn.IFNA((VLOOKUP($A98,'Cr4+'!$Y:$AB,3,FALSE)),"")</f>
        <v/>
      </c>
      <c r="N98" s="3" t="str">
        <f>_xlfn.IFNA(VLOOKUP($A98,'Cr4+'!$Y:$AB,4,FALSE),"")</f>
        <v/>
      </c>
    </row>
    <row r="99" spans="2:14" x14ac:dyDescent="0.25">
      <c r="B99" t="str" cm="1">
        <f t="array" ref="B99">_xlfn.IFNA(INDEX(Data!$D$1:$D$865,MATCH(1,("1+"&amp;$A99=Data!$A$1:$A$865)*(1236=Data!$B$1:$B$865),0)),"")</f>
        <v/>
      </c>
      <c r="C99" t="str" cm="1">
        <f t="array" ref="C99">_xlfn.IFNA(INDEX(Data!$D$1:$D$865,MATCH(1,("1+"&amp;$A99=Data!$A$1:$A$865)*(1237=Data!$B$1:$B$865),0)),"")</f>
        <v/>
      </c>
      <c r="D99" t="str" cm="1">
        <f t="array" ref="D99">_xlfn.IFNA(INDEX(Data!$D$1:$D$865,MATCH(1,("2+"&amp;$A99=Data!$A$1:$A$865)*(1236=Data!$B$1:$B$865),0)),"")</f>
        <v/>
      </c>
      <c r="E99" t="str" cm="1">
        <f t="array" ref="E99">_xlfn.IFNA(INDEX(Data!$D$1:$D$865,MATCH(1,("2+"&amp;$A99=Data!$A$1:$A$865)*(1237=Data!$B$1:$B$865),0)),"")</f>
        <v/>
      </c>
      <c r="F99" t="str" cm="1">
        <f t="array" ref="F99">_xlfn.IFNA(INDEX(Data!$D$1:$D$865,MATCH(1,("1+"&amp;$A99=Data!$A$1:$A$865)*(905=Data!$B$1:$B$865),0)),"")</f>
        <v/>
      </c>
      <c r="G99" t="str" cm="1">
        <f t="array" ref="G99">_xlfn.IFNA(INDEX(Data!$D$1:$D$865,MATCH(1,("1+"&amp;$A99=Data!$A$1:$A$865)*(906=Data!$B$1:$B$865),0)),"")</f>
        <v/>
      </c>
      <c r="H99" t="str" cm="1">
        <f t="array" ref="H99">_xlfn.IFNA(INDEX(Data!$D$1:$D$865,MATCH(1,("2+"&amp;$A99=Data!$A$1:$A$865)*(905=Data!$B$1:$B$865),0)),"")</f>
        <v/>
      </c>
      <c r="I99" t="str" cm="1">
        <f t="array" ref="I99">_xlfn.IFNA(INDEX(Data!$D$1:$D$865,MATCH(1,("2+"&amp;$A99=Data!$A$1:$A$865)*(906=Data!$B$1:$B$865),0)),"")</f>
        <v/>
      </c>
      <c r="J99" t="str">
        <f t="shared" si="2"/>
        <v/>
      </c>
      <c r="K99" t="str">
        <f t="shared" si="3"/>
        <v/>
      </c>
      <c r="L99" s="3" t="str">
        <f>_xlfn.IFNA(VLOOKUP($A99,'Cr4+'!$Y:$AB,2,FALSE),"")</f>
        <v/>
      </c>
      <c r="M99" s="3" t="str">
        <f>_xlfn.IFNA((VLOOKUP($A99,'Cr4+'!$Y:$AB,3,FALSE)),"")</f>
        <v/>
      </c>
      <c r="N99" s="3" t="str">
        <f>_xlfn.IFNA(VLOOKUP($A99,'Cr4+'!$Y:$AB,4,FALSE),"")</f>
        <v/>
      </c>
    </row>
  </sheetData>
  <autoFilter ref="A3:N3" xr:uid="{03958CA1-B8D7-4692-86E4-B29F1231E903}"/>
  <conditionalFormatting sqref="B4:K1048576">
    <cfRule type="cellIs" dxfId="0" priority="1" operator="between">
      <formula>$B$2</formula>
      <formula>$C$2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56FF-65F2-4864-BA0B-4EC643B3ECDF}">
  <sheetPr codeName="Sheet2"/>
  <dimension ref="A1"/>
  <sheetViews>
    <sheetView workbookViewId="0">
      <selection sqref="A1:B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4332C-B2FD-4D50-8F32-F9591738A19B}">
  <sheetPr codeName="Sheet1"/>
  <dimension ref="A1:P865"/>
  <sheetViews>
    <sheetView workbookViewId="0">
      <selection activeCell="D17" sqref="D17"/>
    </sheetView>
  </sheetViews>
  <sheetFormatPr defaultRowHeight="15" x14ac:dyDescent="0.25"/>
  <cols>
    <col min="1" max="1" width="10" bestFit="1" customWidth="1"/>
    <col min="2" max="2" width="12" bestFit="1" customWidth="1"/>
    <col min="3" max="3" width="15.5703125" bestFit="1" customWidth="1"/>
    <col min="4" max="4" width="13.85546875" bestFit="1" customWidth="1"/>
    <col min="5" max="5" width="45" bestFit="1" customWidth="1"/>
    <col min="6" max="6" width="8.42578125" bestFit="1" customWidth="1"/>
  </cols>
  <sheetData>
    <row r="1" spans="1:16" x14ac:dyDescent="0.2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M1" s="35" t="s">
        <v>0</v>
      </c>
      <c r="N1" s="27" t="s">
        <v>1</v>
      </c>
      <c r="O1" s="27" t="s">
        <v>2</v>
      </c>
      <c r="P1" s="28" t="s">
        <v>3</v>
      </c>
    </row>
    <row r="2" spans="1:16" x14ac:dyDescent="0.25">
      <c r="A2" t="s">
        <v>77</v>
      </c>
      <c r="B2">
        <v>905</v>
      </c>
      <c r="C2" s="26">
        <v>45720.209120370368</v>
      </c>
      <c r="D2">
        <v>5.59</v>
      </c>
      <c r="E2" t="s">
        <v>78</v>
      </c>
      <c r="F2" t="str">
        <f>RIGHT(Table_Query_from_SqlServer11[[#This Row],[item_id]],7)</f>
        <v>A26-303</v>
      </c>
      <c r="M2" s="33" t="s">
        <v>5</v>
      </c>
      <c r="N2" s="30" t="s">
        <v>6</v>
      </c>
      <c r="O2" s="30">
        <v>4</v>
      </c>
      <c r="P2" s="31">
        <v>103</v>
      </c>
    </row>
    <row r="3" spans="1:16" x14ac:dyDescent="0.25">
      <c r="A3" t="s">
        <v>77</v>
      </c>
      <c r="B3">
        <v>906</v>
      </c>
      <c r="C3" s="26">
        <v>45720.209351851852</v>
      </c>
      <c r="D3">
        <v>5.81</v>
      </c>
      <c r="E3" t="s">
        <v>80</v>
      </c>
      <c r="F3" t="str">
        <f>RIGHT(Table_Query_from_SqlServer11[[#This Row],[item_id]],7)</f>
        <v>A26-303</v>
      </c>
      <c r="M3" s="34" t="s">
        <v>7</v>
      </c>
      <c r="N3" s="29" t="s">
        <v>8</v>
      </c>
      <c r="O3" s="29">
        <v>120</v>
      </c>
      <c r="P3" s="32">
        <v>0</v>
      </c>
    </row>
    <row r="4" spans="1:16" x14ac:dyDescent="0.25">
      <c r="A4" t="s">
        <v>77</v>
      </c>
      <c r="B4">
        <v>1236</v>
      </c>
      <c r="C4" s="26">
        <v>45710.564884259256</v>
      </c>
      <c r="D4">
        <v>4.3899999999999997</v>
      </c>
      <c r="E4" t="s">
        <v>82</v>
      </c>
      <c r="F4" t="str">
        <f>RIGHT(Table_Query_from_SqlServer11[[#This Row],[item_id]],7)</f>
        <v>A26-303</v>
      </c>
      <c r="M4" s="33" t="s">
        <v>12</v>
      </c>
      <c r="N4" s="30" t="s">
        <v>13</v>
      </c>
      <c r="O4" s="30">
        <v>17</v>
      </c>
      <c r="P4" s="31">
        <v>103</v>
      </c>
    </row>
    <row r="5" spans="1:16" x14ac:dyDescent="0.25">
      <c r="A5" t="s">
        <v>77</v>
      </c>
      <c r="B5">
        <v>1237</v>
      </c>
      <c r="C5" s="26">
        <v>45710.564884259256</v>
      </c>
      <c r="D5">
        <v>4.5599999999999996</v>
      </c>
      <c r="E5" t="s">
        <v>84</v>
      </c>
      <c r="F5" t="str">
        <f>RIGHT(Table_Query_from_SqlServer11[[#This Row],[item_id]],7)</f>
        <v>A26-303</v>
      </c>
      <c r="M5" s="34" t="s">
        <v>14</v>
      </c>
      <c r="N5" s="29" t="s">
        <v>8</v>
      </c>
      <c r="O5" s="29">
        <v>116</v>
      </c>
      <c r="P5" s="32">
        <v>0</v>
      </c>
    </row>
    <row r="6" spans="1:16" x14ac:dyDescent="0.25">
      <c r="A6" t="s">
        <v>86</v>
      </c>
      <c r="B6">
        <v>906</v>
      </c>
      <c r="C6" s="26">
        <v>44014.448472222219</v>
      </c>
      <c r="D6">
        <v>0.47</v>
      </c>
      <c r="E6" t="s">
        <v>80</v>
      </c>
      <c r="F6" t="str">
        <f>RIGHT(Table_Query_from_SqlServer11[[#This Row],[item_id]],7)</f>
        <v>A26-397</v>
      </c>
      <c r="M6" s="33" t="s">
        <v>15</v>
      </c>
      <c r="N6" s="30" t="s">
        <v>13</v>
      </c>
      <c r="O6" s="30">
        <v>42</v>
      </c>
      <c r="P6" s="31">
        <v>23</v>
      </c>
    </row>
    <row r="7" spans="1:16" x14ac:dyDescent="0.25">
      <c r="A7" t="s">
        <v>86</v>
      </c>
      <c r="B7">
        <v>905</v>
      </c>
      <c r="C7" s="26">
        <v>44014.448472222219</v>
      </c>
      <c r="D7">
        <v>0.44</v>
      </c>
      <c r="E7" t="s">
        <v>78</v>
      </c>
      <c r="F7" t="str">
        <f>RIGHT(Table_Query_from_SqlServer11[[#This Row],[item_id]],7)</f>
        <v>A26-397</v>
      </c>
      <c r="M7" s="34" t="s">
        <v>16</v>
      </c>
      <c r="N7" s="29" t="s">
        <v>8</v>
      </c>
      <c r="O7" s="29">
        <v>100</v>
      </c>
      <c r="P7" s="32">
        <v>0</v>
      </c>
    </row>
    <row r="8" spans="1:16" x14ac:dyDescent="0.25">
      <c r="A8" t="s">
        <v>89</v>
      </c>
      <c r="B8">
        <v>905</v>
      </c>
      <c r="C8" s="26">
        <v>44142.675706018519</v>
      </c>
      <c r="D8">
        <v>5.73</v>
      </c>
      <c r="E8" t="s">
        <v>78</v>
      </c>
      <c r="F8" t="str">
        <f>RIGHT(Table_Query_from_SqlServer11[[#This Row],[item_id]],7)</f>
        <v>A26-406</v>
      </c>
      <c r="M8" s="33" t="s">
        <v>17</v>
      </c>
      <c r="N8" s="30" t="s">
        <v>8</v>
      </c>
      <c r="O8" s="30">
        <v>99</v>
      </c>
      <c r="P8" s="31">
        <v>0</v>
      </c>
    </row>
    <row r="9" spans="1:16" x14ac:dyDescent="0.25">
      <c r="A9" t="s">
        <v>89</v>
      </c>
      <c r="B9">
        <v>906</v>
      </c>
      <c r="C9" s="26">
        <v>44142.675717592596</v>
      </c>
      <c r="D9">
        <v>5.66</v>
      </c>
      <c r="E9" t="s">
        <v>80</v>
      </c>
      <c r="F9" t="str">
        <f>RIGHT(Table_Query_from_SqlServer11[[#This Row],[item_id]],7)</f>
        <v>A26-406</v>
      </c>
      <c r="M9" s="34" t="s">
        <v>18</v>
      </c>
      <c r="N9" s="29" t="s">
        <v>8</v>
      </c>
      <c r="O9" s="29">
        <v>98</v>
      </c>
      <c r="P9" s="32">
        <v>0</v>
      </c>
    </row>
    <row r="10" spans="1:16" x14ac:dyDescent="0.25">
      <c r="A10" t="s">
        <v>89</v>
      </c>
      <c r="B10">
        <v>1237</v>
      </c>
      <c r="C10" s="26">
        <v>44134.337280092594</v>
      </c>
      <c r="D10">
        <v>4.92</v>
      </c>
      <c r="E10" t="s">
        <v>84</v>
      </c>
      <c r="F10" t="str">
        <f>RIGHT(Table_Query_from_SqlServer11[[#This Row],[item_id]],7)</f>
        <v>A26-406</v>
      </c>
      <c r="M10" s="33" t="s">
        <v>19</v>
      </c>
      <c r="N10" s="30" t="s">
        <v>8</v>
      </c>
      <c r="O10" s="30">
        <v>93</v>
      </c>
      <c r="P10" s="31">
        <v>0</v>
      </c>
    </row>
    <row r="11" spans="1:16" x14ac:dyDescent="0.25">
      <c r="A11" t="s">
        <v>89</v>
      </c>
      <c r="B11">
        <v>1236</v>
      </c>
      <c r="C11" s="26">
        <v>44134.339317129627</v>
      </c>
      <c r="D11">
        <v>5.03</v>
      </c>
      <c r="E11" t="s">
        <v>82</v>
      </c>
      <c r="F11" t="str">
        <f>RIGHT(Table_Query_from_SqlServer11[[#This Row],[item_id]],7)</f>
        <v>A26-406</v>
      </c>
      <c r="M11" s="34" t="s">
        <v>20</v>
      </c>
      <c r="N11" s="29" t="s">
        <v>21</v>
      </c>
      <c r="O11" s="29">
        <v>28</v>
      </c>
      <c r="P11" s="32">
        <v>77</v>
      </c>
    </row>
    <row r="12" spans="1:16" x14ac:dyDescent="0.25">
      <c r="A12" t="s">
        <v>94</v>
      </c>
      <c r="B12">
        <v>1236</v>
      </c>
      <c r="C12" s="26">
        <v>44148.328657407408</v>
      </c>
      <c r="D12">
        <v>0.43</v>
      </c>
      <c r="E12" t="s">
        <v>82</v>
      </c>
      <c r="F12" t="str">
        <f>RIGHT(Table_Query_from_SqlServer11[[#This Row],[item_id]],7)</f>
        <v>A26-407</v>
      </c>
      <c r="M12" s="33" t="s">
        <v>23</v>
      </c>
      <c r="N12" s="30" t="s">
        <v>8</v>
      </c>
      <c r="O12" s="30">
        <v>105</v>
      </c>
      <c r="P12" s="31">
        <v>0</v>
      </c>
    </row>
    <row r="13" spans="1:16" x14ac:dyDescent="0.25">
      <c r="A13" t="s">
        <v>94</v>
      </c>
      <c r="B13">
        <v>1237</v>
      </c>
      <c r="C13" s="26">
        <v>44148.328657407408</v>
      </c>
      <c r="D13">
        <v>0.45</v>
      </c>
      <c r="E13" t="s">
        <v>84</v>
      </c>
      <c r="F13" t="str">
        <f>RIGHT(Table_Query_from_SqlServer11[[#This Row],[item_id]],7)</f>
        <v>A26-407</v>
      </c>
      <c r="M13" s="34" t="s">
        <v>25</v>
      </c>
      <c r="N13" s="29" t="s">
        <v>26</v>
      </c>
      <c r="O13" s="29">
        <v>30</v>
      </c>
      <c r="P13" s="32">
        <v>0</v>
      </c>
    </row>
    <row r="14" spans="1:16" x14ac:dyDescent="0.25">
      <c r="A14" t="s">
        <v>94</v>
      </c>
      <c r="B14">
        <v>906</v>
      </c>
      <c r="C14" s="26">
        <v>44154.512962962966</v>
      </c>
      <c r="D14">
        <v>0.6</v>
      </c>
      <c r="E14" t="s">
        <v>80</v>
      </c>
      <c r="F14" t="str">
        <f>RIGHT(Table_Query_from_SqlServer11[[#This Row],[item_id]],7)</f>
        <v>A26-407</v>
      </c>
      <c r="M14" s="33" t="s">
        <v>28</v>
      </c>
      <c r="N14" s="30" t="s">
        <v>29</v>
      </c>
      <c r="O14" s="30">
        <v>15</v>
      </c>
      <c r="P14" s="31">
        <v>0</v>
      </c>
    </row>
    <row r="15" spans="1:16" x14ac:dyDescent="0.25">
      <c r="A15" t="s">
        <v>94</v>
      </c>
      <c r="B15">
        <v>905</v>
      </c>
      <c r="C15" s="26">
        <v>44154.512962962966</v>
      </c>
      <c r="D15">
        <v>0.59</v>
      </c>
      <c r="E15" t="s">
        <v>78</v>
      </c>
      <c r="F15" t="str">
        <f>RIGHT(Table_Query_from_SqlServer11[[#This Row],[item_id]],7)</f>
        <v>A26-407</v>
      </c>
      <c r="M15" s="34" t="s">
        <v>30</v>
      </c>
      <c r="N15" s="29" t="s">
        <v>31</v>
      </c>
      <c r="O15" s="29">
        <v>5</v>
      </c>
      <c r="P15" s="32">
        <v>45</v>
      </c>
    </row>
    <row r="16" spans="1:16" x14ac:dyDescent="0.25">
      <c r="A16" t="s">
        <v>98</v>
      </c>
      <c r="B16">
        <v>905</v>
      </c>
      <c r="C16" s="26">
        <v>44241.547962962963</v>
      </c>
      <c r="D16">
        <v>4.57</v>
      </c>
      <c r="E16" t="s">
        <v>78</v>
      </c>
      <c r="F16" t="str">
        <f>RIGHT(Table_Query_from_SqlServer11[[#This Row],[item_id]],7)</f>
        <v>A26-409</v>
      </c>
      <c r="M16" s="33" t="s">
        <v>33</v>
      </c>
      <c r="N16" s="30" t="s">
        <v>8</v>
      </c>
      <c r="O16" s="30">
        <v>116</v>
      </c>
      <c r="P16" s="31">
        <v>0</v>
      </c>
    </row>
    <row r="17" spans="1:16" x14ac:dyDescent="0.25">
      <c r="A17" t="s">
        <v>98</v>
      </c>
      <c r="B17">
        <v>906</v>
      </c>
      <c r="C17" s="26">
        <v>44241.547962962963</v>
      </c>
      <c r="D17">
        <v>4.42</v>
      </c>
      <c r="E17" t="s">
        <v>80</v>
      </c>
      <c r="F17" t="str">
        <f>RIGHT(Table_Query_from_SqlServer11[[#This Row],[item_id]],7)</f>
        <v>A26-409</v>
      </c>
      <c r="M17" s="34" t="s">
        <v>35</v>
      </c>
      <c r="N17" s="29" t="s">
        <v>8</v>
      </c>
      <c r="O17" s="29">
        <v>113</v>
      </c>
      <c r="P17" s="32">
        <v>0</v>
      </c>
    </row>
    <row r="18" spans="1:16" x14ac:dyDescent="0.25">
      <c r="A18" t="s">
        <v>98</v>
      </c>
      <c r="B18">
        <v>1236</v>
      </c>
      <c r="C18" s="26">
        <v>44225.560231481482</v>
      </c>
      <c r="D18">
        <v>3.94</v>
      </c>
      <c r="E18" t="s">
        <v>82</v>
      </c>
      <c r="F18" t="str">
        <f>RIGHT(Table_Query_from_SqlServer11[[#This Row],[item_id]],7)</f>
        <v>A26-409</v>
      </c>
      <c r="M18" s="33" t="s">
        <v>39</v>
      </c>
      <c r="N18" s="30" t="s">
        <v>40</v>
      </c>
      <c r="O18" s="30">
        <v>61</v>
      </c>
      <c r="P18" s="31">
        <v>0</v>
      </c>
    </row>
    <row r="19" spans="1:16" x14ac:dyDescent="0.25">
      <c r="A19" t="s">
        <v>98</v>
      </c>
      <c r="B19">
        <v>1237</v>
      </c>
      <c r="C19" s="26">
        <v>44225.560231481482</v>
      </c>
      <c r="D19">
        <v>3.91</v>
      </c>
      <c r="E19" t="s">
        <v>84</v>
      </c>
      <c r="F19" t="str">
        <f>RIGHT(Table_Query_from_SqlServer11[[#This Row],[item_id]],7)</f>
        <v>A26-409</v>
      </c>
      <c r="M19" s="34" t="s">
        <v>42</v>
      </c>
      <c r="N19" s="29" t="s">
        <v>43</v>
      </c>
      <c r="O19" s="29">
        <v>52</v>
      </c>
      <c r="P19" s="32">
        <v>12</v>
      </c>
    </row>
    <row r="20" spans="1:16" x14ac:dyDescent="0.25">
      <c r="A20" t="s">
        <v>99</v>
      </c>
      <c r="B20">
        <v>1236</v>
      </c>
      <c r="C20" s="26">
        <v>44238.253125000003</v>
      </c>
      <c r="D20">
        <v>3.89</v>
      </c>
      <c r="E20" t="s">
        <v>82</v>
      </c>
      <c r="F20" t="str">
        <f>RIGHT(Table_Query_from_SqlServer11[[#This Row],[item_id]],7)</f>
        <v>A26-410</v>
      </c>
      <c r="M20" s="33" t="s">
        <v>45</v>
      </c>
      <c r="N20" s="30" t="s">
        <v>8</v>
      </c>
      <c r="O20" s="30">
        <v>114</v>
      </c>
      <c r="P20" s="31">
        <v>0</v>
      </c>
    </row>
    <row r="21" spans="1:16" x14ac:dyDescent="0.25">
      <c r="A21" t="s">
        <v>99</v>
      </c>
      <c r="B21">
        <v>1237</v>
      </c>
      <c r="C21" s="26">
        <v>44238.253125000003</v>
      </c>
      <c r="D21">
        <v>3.95</v>
      </c>
      <c r="E21" t="s">
        <v>84</v>
      </c>
      <c r="F21" t="str">
        <f>RIGHT(Table_Query_from_SqlServer11[[#This Row],[item_id]],7)</f>
        <v>A26-410</v>
      </c>
      <c r="M21" s="34" t="s">
        <v>47</v>
      </c>
      <c r="N21" s="29" t="s">
        <v>26</v>
      </c>
      <c r="O21" s="29">
        <v>88</v>
      </c>
      <c r="P21" s="32">
        <v>0</v>
      </c>
    </row>
    <row r="22" spans="1:16" x14ac:dyDescent="0.25">
      <c r="A22" t="s">
        <v>99</v>
      </c>
      <c r="B22">
        <v>906</v>
      </c>
      <c r="C22" s="26">
        <v>44253.379363425927</v>
      </c>
      <c r="D22">
        <v>4.62</v>
      </c>
      <c r="E22" t="s">
        <v>80</v>
      </c>
      <c r="F22" t="str">
        <f>RIGHT(Table_Query_from_SqlServer11[[#This Row],[item_id]],7)</f>
        <v>A26-410</v>
      </c>
      <c r="M22" s="33" t="s">
        <v>48</v>
      </c>
      <c r="N22" s="30" t="s">
        <v>43</v>
      </c>
      <c r="O22" s="30">
        <v>92</v>
      </c>
      <c r="P22" s="31">
        <v>10</v>
      </c>
    </row>
    <row r="23" spans="1:16" x14ac:dyDescent="0.25">
      <c r="A23" t="s">
        <v>99</v>
      </c>
      <c r="B23">
        <v>905</v>
      </c>
      <c r="C23" s="26">
        <v>44253.379537037035</v>
      </c>
      <c r="D23">
        <v>4.6399999999999997</v>
      </c>
      <c r="E23" t="s">
        <v>78</v>
      </c>
      <c r="F23" t="str">
        <f>RIGHT(Table_Query_from_SqlServer11[[#This Row],[item_id]],7)</f>
        <v>A26-410</v>
      </c>
      <c r="M23" s="34" t="s">
        <v>49</v>
      </c>
      <c r="N23" s="29" t="s">
        <v>26</v>
      </c>
      <c r="O23" s="29">
        <v>91</v>
      </c>
      <c r="P23" s="32">
        <v>0</v>
      </c>
    </row>
    <row r="24" spans="1:16" x14ac:dyDescent="0.25">
      <c r="A24" t="s">
        <v>100</v>
      </c>
      <c r="B24">
        <v>905</v>
      </c>
      <c r="C24" s="26">
        <v>44284.381689814814</v>
      </c>
      <c r="D24">
        <v>5.93</v>
      </c>
      <c r="E24" t="s">
        <v>78</v>
      </c>
      <c r="F24" t="str">
        <f>RIGHT(Table_Query_from_SqlServer11[[#This Row],[item_id]],7)</f>
        <v>A26-411</v>
      </c>
      <c r="M24" s="33" t="s">
        <v>50</v>
      </c>
      <c r="N24" s="30" t="s">
        <v>26</v>
      </c>
      <c r="O24" s="30">
        <v>77</v>
      </c>
      <c r="P24" s="31">
        <v>0</v>
      </c>
    </row>
    <row r="25" spans="1:16" x14ac:dyDescent="0.25">
      <c r="A25" t="s">
        <v>100</v>
      </c>
      <c r="B25">
        <v>906</v>
      </c>
      <c r="C25" s="26">
        <v>44284.382685185185</v>
      </c>
      <c r="D25">
        <v>5.78</v>
      </c>
      <c r="E25" t="s">
        <v>80</v>
      </c>
      <c r="F25" t="str">
        <f>RIGHT(Table_Query_from_SqlServer11[[#This Row],[item_id]],7)</f>
        <v>A26-411</v>
      </c>
      <c r="M25" s="34" t="s">
        <v>51</v>
      </c>
      <c r="N25" s="29" t="s">
        <v>26</v>
      </c>
      <c r="O25" s="29">
        <v>56</v>
      </c>
      <c r="P25" s="32">
        <v>0</v>
      </c>
    </row>
    <row r="26" spans="1:16" x14ac:dyDescent="0.25">
      <c r="A26" t="s">
        <v>100</v>
      </c>
      <c r="B26">
        <v>1236</v>
      </c>
      <c r="C26" s="26">
        <v>44276.293935185182</v>
      </c>
      <c r="D26">
        <v>5.1100000000000003</v>
      </c>
      <c r="E26" t="s">
        <v>82</v>
      </c>
      <c r="F26" t="str">
        <f>RIGHT(Table_Query_from_SqlServer11[[#This Row],[item_id]],7)</f>
        <v>A26-411</v>
      </c>
      <c r="M26" s="33" t="s">
        <v>52</v>
      </c>
      <c r="N26" s="30" t="s">
        <v>8</v>
      </c>
      <c r="O26" s="30">
        <v>111</v>
      </c>
      <c r="P26" s="31">
        <v>0</v>
      </c>
    </row>
    <row r="27" spans="1:16" x14ac:dyDescent="0.25">
      <c r="A27" t="s">
        <v>100</v>
      </c>
      <c r="B27">
        <v>1237</v>
      </c>
      <c r="C27" s="26">
        <v>44276.293935185182</v>
      </c>
      <c r="D27">
        <v>5.1100000000000003</v>
      </c>
      <c r="E27" t="s">
        <v>84</v>
      </c>
      <c r="F27" t="str">
        <f>RIGHT(Table_Query_from_SqlServer11[[#This Row],[item_id]],7)</f>
        <v>A26-411</v>
      </c>
      <c r="M27" s="34" t="s">
        <v>55</v>
      </c>
      <c r="N27" s="29" t="s">
        <v>8</v>
      </c>
      <c r="O27" s="29">
        <v>113</v>
      </c>
      <c r="P27" s="32">
        <v>0</v>
      </c>
    </row>
    <row r="28" spans="1:16" x14ac:dyDescent="0.25">
      <c r="A28" t="s">
        <v>101</v>
      </c>
      <c r="B28">
        <v>1236</v>
      </c>
      <c r="C28" s="26">
        <v>44297.321122685185</v>
      </c>
      <c r="D28">
        <v>2.66</v>
      </c>
      <c r="E28" t="s">
        <v>82</v>
      </c>
      <c r="F28" t="str">
        <f>RIGHT(Table_Query_from_SqlServer11[[#This Row],[item_id]],7)</f>
        <v>A26-412</v>
      </c>
      <c r="M28" s="33" t="s">
        <v>56</v>
      </c>
      <c r="N28" s="30" t="s">
        <v>29</v>
      </c>
      <c r="O28" s="30">
        <v>72</v>
      </c>
      <c r="P28" s="31">
        <v>0</v>
      </c>
    </row>
    <row r="29" spans="1:16" x14ac:dyDescent="0.25">
      <c r="A29" t="s">
        <v>101</v>
      </c>
      <c r="B29">
        <v>1237</v>
      </c>
      <c r="C29" s="26">
        <v>44297.321122685185</v>
      </c>
      <c r="D29">
        <v>2.73</v>
      </c>
      <c r="E29" t="s">
        <v>84</v>
      </c>
      <c r="F29" t="str">
        <f>RIGHT(Table_Query_from_SqlServer11[[#This Row],[item_id]],7)</f>
        <v>A26-412</v>
      </c>
      <c r="M29" s="34" t="s">
        <v>57</v>
      </c>
      <c r="N29" s="29" t="s">
        <v>8</v>
      </c>
      <c r="O29" s="29">
        <v>105</v>
      </c>
      <c r="P29" s="32">
        <v>0</v>
      </c>
    </row>
    <row r="30" spans="1:16" x14ac:dyDescent="0.25">
      <c r="A30" t="s">
        <v>101</v>
      </c>
      <c r="B30">
        <v>906</v>
      </c>
      <c r="C30" s="26">
        <v>44305.262083333335</v>
      </c>
      <c r="D30">
        <v>3.32</v>
      </c>
      <c r="E30" t="s">
        <v>80</v>
      </c>
      <c r="F30" t="str">
        <f>RIGHT(Table_Query_from_SqlServer11[[#This Row],[item_id]],7)</f>
        <v>A26-412</v>
      </c>
      <c r="M30" s="33" t="s">
        <v>76</v>
      </c>
      <c r="N30" s="30" t="s">
        <v>8</v>
      </c>
      <c r="O30" s="30">
        <v>114</v>
      </c>
      <c r="P30" s="31">
        <v>0</v>
      </c>
    </row>
    <row r="31" spans="1:16" x14ac:dyDescent="0.25">
      <c r="A31" t="s">
        <v>101</v>
      </c>
      <c r="B31">
        <v>905</v>
      </c>
      <c r="C31" s="26">
        <v>44305.262083333335</v>
      </c>
      <c r="D31">
        <v>3.32</v>
      </c>
      <c r="E31" t="s">
        <v>78</v>
      </c>
      <c r="F31" t="str">
        <f>RIGHT(Table_Query_from_SqlServer11[[#This Row],[item_id]],7)</f>
        <v>A26-412</v>
      </c>
      <c r="M31" s="29" t="s">
        <v>79</v>
      </c>
      <c r="N31" s="29" t="s">
        <v>8</v>
      </c>
      <c r="O31" s="29">
        <v>75</v>
      </c>
      <c r="P31" s="29">
        <v>0</v>
      </c>
    </row>
    <row r="32" spans="1:16" x14ac:dyDescent="0.25">
      <c r="A32" t="s">
        <v>102</v>
      </c>
      <c r="B32">
        <v>905</v>
      </c>
      <c r="C32" s="26">
        <v>44321.378877314812</v>
      </c>
      <c r="D32">
        <v>5.05</v>
      </c>
      <c r="E32" t="s">
        <v>78</v>
      </c>
      <c r="F32" t="str">
        <f>RIGHT(Table_Query_from_SqlServer11[[#This Row],[item_id]],7)</f>
        <v>A26-413</v>
      </c>
      <c r="M32" s="29" t="s">
        <v>81</v>
      </c>
      <c r="N32" s="29" t="s">
        <v>8</v>
      </c>
      <c r="O32" s="29">
        <v>115</v>
      </c>
      <c r="P32" s="29">
        <v>0</v>
      </c>
    </row>
    <row r="33" spans="1:16" x14ac:dyDescent="0.25">
      <c r="A33" t="s">
        <v>102</v>
      </c>
      <c r="B33">
        <v>906</v>
      </c>
      <c r="C33" s="26">
        <v>44321.378877314812</v>
      </c>
      <c r="D33">
        <v>4.87</v>
      </c>
      <c r="E33" t="s">
        <v>80</v>
      </c>
      <c r="F33" t="str">
        <f>RIGHT(Table_Query_from_SqlServer11[[#This Row],[item_id]],7)</f>
        <v>A26-413</v>
      </c>
      <c r="M33" s="34" t="s">
        <v>83</v>
      </c>
      <c r="N33" s="29" t="s">
        <v>8</v>
      </c>
      <c r="O33" s="29">
        <v>46</v>
      </c>
      <c r="P33" s="32">
        <v>0</v>
      </c>
    </row>
    <row r="34" spans="1:16" x14ac:dyDescent="0.25">
      <c r="A34" t="s">
        <v>102</v>
      </c>
      <c r="B34">
        <v>1236</v>
      </c>
      <c r="C34" s="26">
        <v>44314.278414351851</v>
      </c>
      <c r="D34">
        <v>4.3099999999999996</v>
      </c>
      <c r="E34" t="s">
        <v>82</v>
      </c>
      <c r="F34" t="str">
        <f>RIGHT(Table_Query_from_SqlServer11[[#This Row],[item_id]],7)</f>
        <v>A26-413</v>
      </c>
      <c r="M34" s="29" t="s">
        <v>85</v>
      </c>
      <c r="N34" s="29" t="s">
        <v>8</v>
      </c>
      <c r="O34" s="29">
        <v>113</v>
      </c>
      <c r="P34" s="29">
        <v>0</v>
      </c>
    </row>
    <row r="35" spans="1:16" x14ac:dyDescent="0.25">
      <c r="A35" t="s">
        <v>102</v>
      </c>
      <c r="B35">
        <v>1237</v>
      </c>
      <c r="C35" s="26">
        <v>44314.278425925928</v>
      </c>
      <c r="D35">
        <v>4.2699999999999996</v>
      </c>
      <c r="E35" t="s">
        <v>84</v>
      </c>
      <c r="F35" t="str">
        <f>RIGHT(Table_Query_from_SqlServer11[[#This Row],[item_id]],7)</f>
        <v>A26-413</v>
      </c>
      <c r="M35" s="33" t="s">
        <v>87</v>
      </c>
      <c r="N35" s="30" t="s">
        <v>8</v>
      </c>
      <c r="O35" s="30">
        <v>110</v>
      </c>
      <c r="P35" s="31">
        <v>0</v>
      </c>
    </row>
    <row r="36" spans="1:16" x14ac:dyDescent="0.25">
      <c r="A36" t="s">
        <v>103</v>
      </c>
      <c r="B36">
        <v>1236</v>
      </c>
      <c r="C36" s="26">
        <v>44333.355914351851</v>
      </c>
      <c r="D36">
        <v>4.57</v>
      </c>
      <c r="E36" t="s">
        <v>82</v>
      </c>
      <c r="F36" t="str">
        <f>RIGHT(Table_Query_from_SqlServer11[[#This Row],[item_id]],7)</f>
        <v>A26-414</v>
      </c>
    </row>
    <row r="37" spans="1:16" x14ac:dyDescent="0.25">
      <c r="A37" t="s">
        <v>103</v>
      </c>
      <c r="B37">
        <v>1237</v>
      </c>
      <c r="C37" s="26">
        <v>44333.355914351851</v>
      </c>
      <c r="D37">
        <v>4.59</v>
      </c>
      <c r="E37" t="s">
        <v>84</v>
      </c>
      <c r="F37" t="str">
        <f>RIGHT(Table_Query_from_SqlServer11[[#This Row],[item_id]],7)</f>
        <v>A26-414</v>
      </c>
    </row>
    <row r="38" spans="1:16" x14ac:dyDescent="0.25">
      <c r="A38" t="s">
        <v>103</v>
      </c>
      <c r="B38">
        <v>906</v>
      </c>
      <c r="C38" s="26">
        <v>44357.363032407404</v>
      </c>
      <c r="D38">
        <v>5.33</v>
      </c>
      <c r="E38" t="s">
        <v>80</v>
      </c>
      <c r="F38" t="str">
        <f>RIGHT(Table_Query_from_SqlServer11[[#This Row],[item_id]],7)</f>
        <v>A26-414</v>
      </c>
    </row>
    <row r="39" spans="1:16" x14ac:dyDescent="0.25">
      <c r="A39" t="s">
        <v>103</v>
      </c>
      <c r="B39">
        <v>905</v>
      </c>
      <c r="C39" s="26">
        <v>44357.362847222219</v>
      </c>
      <c r="D39">
        <v>5.35</v>
      </c>
      <c r="E39" t="s">
        <v>78</v>
      </c>
      <c r="F39" t="str">
        <f>RIGHT(Table_Query_from_SqlServer11[[#This Row],[item_id]],7)</f>
        <v>A26-414</v>
      </c>
    </row>
    <row r="40" spans="1:16" x14ac:dyDescent="0.25">
      <c r="A40" t="s">
        <v>104</v>
      </c>
      <c r="B40">
        <v>905</v>
      </c>
      <c r="C40" s="26">
        <v>44425.40048611111</v>
      </c>
      <c r="D40">
        <v>5.12</v>
      </c>
      <c r="E40" t="s">
        <v>78</v>
      </c>
      <c r="F40" t="str">
        <f>RIGHT(Table_Query_from_SqlServer11[[#This Row],[item_id]],7)</f>
        <v>A26-418</v>
      </c>
    </row>
    <row r="41" spans="1:16" x14ac:dyDescent="0.25">
      <c r="A41" t="s">
        <v>104</v>
      </c>
      <c r="B41">
        <v>906</v>
      </c>
      <c r="C41" s="26">
        <v>44425.40048611111</v>
      </c>
      <c r="D41">
        <v>5.0199999999999996</v>
      </c>
      <c r="E41" t="s">
        <v>80</v>
      </c>
      <c r="F41" t="str">
        <f>RIGHT(Table_Query_from_SqlServer11[[#This Row],[item_id]],7)</f>
        <v>A26-418</v>
      </c>
    </row>
    <row r="42" spans="1:16" x14ac:dyDescent="0.25">
      <c r="A42" t="s">
        <v>104</v>
      </c>
      <c r="B42">
        <v>1236</v>
      </c>
      <c r="C42" s="26">
        <v>44418.756643518522</v>
      </c>
      <c r="D42">
        <v>4.2699999999999996</v>
      </c>
      <c r="E42" t="s">
        <v>82</v>
      </c>
      <c r="F42" t="str">
        <f>RIGHT(Table_Query_from_SqlServer11[[#This Row],[item_id]],7)</f>
        <v>A26-418</v>
      </c>
    </row>
    <row r="43" spans="1:16" x14ac:dyDescent="0.25">
      <c r="A43" t="s">
        <v>104</v>
      </c>
      <c r="B43">
        <v>1237</v>
      </c>
      <c r="C43" s="26">
        <v>44418.756643518522</v>
      </c>
      <c r="D43">
        <v>4.28</v>
      </c>
      <c r="E43" t="s">
        <v>84</v>
      </c>
      <c r="F43" t="str">
        <f>RIGHT(Table_Query_from_SqlServer11[[#This Row],[item_id]],7)</f>
        <v>A26-418</v>
      </c>
    </row>
    <row r="44" spans="1:16" x14ac:dyDescent="0.25">
      <c r="A44" t="s">
        <v>105</v>
      </c>
      <c r="B44">
        <v>1236</v>
      </c>
      <c r="C44" s="26">
        <v>44431.704247685186</v>
      </c>
      <c r="D44">
        <v>4.33</v>
      </c>
      <c r="E44" t="s">
        <v>82</v>
      </c>
      <c r="F44" t="str">
        <f>RIGHT(Table_Query_from_SqlServer11[[#This Row],[item_id]],7)</f>
        <v>A26-419</v>
      </c>
    </row>
    <row r="45" spans="1:16" x14ac:dyDescent="0.25">
      <c r="A45" t="s">
        <v>105</v>
      </c>
      <c r="B45">
        <v>1237</v>
      </c>
      <c r="C45" s="26">
        <v>44431.704247685186</v>
      </c>
      <c r="D45">
        <v>4.34</v>
      </c>
      <c r="E45" t="s">
        <v>84</v>
      </c>
      <c r="F45" t="str">
        <f>RIGHT(Table_Query_from_SqlServer11[[#This Row],[item_id]],7)</f>
        <v>A26-419</v>
      </c>
    </row>
    <row r="46" spans="1:16" x14ac:dyDescent="0.25">
      <c r="A46" t="s">
        <v>105</v>
      </c>
      <c r="B46">
        <v>906</v>
      </c>
      <c r="C46" s="26">
        <v>44439.310277777775</v>
      </c>
      <c r="D46">
        <v>5.22</v>
      </c>
      <c r="E46" t="s">
        <v>80</v>
      </c>
      <c r="F46" t="str">
        <f>RIGHT(Table_Query_from_SqlServer11[[#This Row],[item_id]],7)</f>
        <v>A26-419</v>
      </c>
    </row>
    <row r="47" spans="1:16" x14ac:dyDescent="0.25">
      <c r="A47" t="s">
        <v>105</v>
      </c>
      <c r="B47">
        <v>905</v>
      </c>
      <c r="C47" s="26">
        <v>44439.31013888889</v>
      </c>
      <c r="D47">
        <v>5.25</v>
      </c>
      <c r="E47" t="s">
        <v>78</v>
      </c>
      <c r="F47" t="str">
        <f>RIGHT(Table_Query_from_SqlServer11[[#This Row],[item_id]],7)</f>
        <v>A26-419</v>
      </c>
    </row>
    <row r="48" spans="1:16" x14ac:dyDescent="0.25">
      <c r="A48" t="s">
        <v>106</v>
      </c>
      <c r="B48">
        <v>905</v>
      </c>
      <c r="C48" s="26">
        <v>44467.709282407406</v>
      </c>
      <c r="D48">
        <v>5.08</v>
      </c>
      <c r="E48" t="s">
        <v>78</v>
      </c>
      <c r="F48" t="str">
        <f>RIGHT(Table_Query_from_SqlServer11[[#This Row],[item_id]],7)</f>
        <v>A26-420</v>
      </c>
    </row>
    <row r="49" spans="1:6" x14ac:dyDescent="0.25">
      <c r="A49" t="s">
        <v>106</v>
      </c>
      <c r="B49">
        <v>906</v>
      </c>
      <c r="C49" s="26">
        <v>44467.709282407406</v>
      </c>
      <c r="D49">
        <v>4.91</v>
      </c>
      <c r="E49" t="s">
        <v>80</v>
      </c>
      <c r="F49" t="str">
        <f>RIGHT(Table_Query_from_SqlServer11[[#This Row],[item_id]],7)</f>
        <v>A26-420</v>
      </c>
    </row>
    <row r="50" spans="1:6" x14ac:dyDescent="0.25">
      <c r="A50" t="s">
        <v>106</v>
      </c>
      <c r="B50">
        <v>1236</v>
      </c>
      <c r="C50" s="26">
        <v>44443.313622685186</v>
      </c>
      <c r="D50">
        <v>4.28</v>
      </c>
      <c r="E50" t="s">
        <v>82</v>
      </c>
      <c r="F50" t="str">
        <f>RIGHT(Table_Query_from_SqlServer11[[#This Row],[item_id]],7)</f>
        <v>A26-420</v>
      </c>
    </row>
    <row r="51" spans="1:6" x14ac:dyDescent="0.25">
      <c r="A51" t="s">
        <v>106</v>
      </c>
      <c r="B51">
        <v>1237</v>
      </c>
      <c r="C51" s="26">
        <v>44443.313622685186</v>
      </c>
      <c r="D51">
        <v>4.2699999999999996</v>
      </c>
      <c r="E51" t="s">
        <v>84</v>
      </c>
      <c r="F51" t="str">
        <f>RIGHT(Table_Query_from_SqlServer11[[#This Row],[item_id]],7)</f>
        <v>A26-420</v>
      </c>
    </row>
    <row r="52" spans="1:6" x14ac:dyDescent="0.25">
      <c r="A52" t="s">
        <v>107</v>
      </c>
      <c r="B52">
        <v>1236</v>
      </c>
      <c r="C52" s="26">
        <v>44455.336875000001</v>
      </c>
      <c r="D52">
        <v>4.29</v>
      </c>
      <c r="E52" t="s">
        <v>82</v>
      </c>
      <c r="F52" t="str">
        <f>RIGHT(Table_Query_from_SqlServer11[[#This Row],[item_id]],7)</f>
        <v>A26-421</v>
      </c>
    </row>
    <row r="53" spans="1:6" x14ac:dyDescent="0.25">
      <c r="A53" t="s">
        <v>107</v>
      </c>
      <c r="B53">
        <v>1237</v>
      </c>
      <c r="C53" s="26">
        <v>44455.336875000001</v>
      </c>
      <c r="D53">
        <v>4.3099999999999996</v>
      </c>
      <c r="E53" t="s">
        <v>84</v>
      </c>
      <c r="F53" t="str">
        <f>RIGHT(Table_Query_from_SqlServer11[[#This Row],[item_id]],7)</f>
        <v>A26-421</v>
      </c>
    </row>
    <row r="54" spans="1:6" x14ac:dyDescent="0.25">
      <c r="A54" t="s">
        <v>107</v>
      </c>
      <c r="B54">
        <v>906</v>
      </c>
      <c r="C54" s="26">
        <v>44467.708055555559</v>
      </c>
      <c r="D54">
        <v>5.21</v>
      </c>
      <c r="E54" t="s">
        <v>80</v>
      </c>
      <c r="F54" t="str">
        <f>RIGHT(Table_Query_from_SqlServer11[[#This Row],[item_id]],7)</f>
        <v>A26-421</v>
      </c>
    </row>
    <row r="55" spans="1:6" x14ac:dyDescent="0.25">
      <c r="A55" t="s">
        <v>107</v>
      </c>
      <c r="B55">
        <v>905</v>
      </c>
      <c r="C55" s="26">
        <v>44467.708055555559</v>
      </c>
      <c r="D55">
        <v>5.1100000000000003</v>
      </c>
      <c r="E55" t="s">
        <v>78</v>
      </c>
      <c r="F55" t="str">
        <f>RIGHT(Table_Query_from_SqlServer11[[#This Row],[item_id]],7)</f>
        <v>A26-421</v>
      </c>
    </row>
    <row r="56" spans="1:6" x14ac:dyDescent="0.25">
      <c r="A56" t="s">
        <v>108</v>
      </c>
      <c r="B56">
        <v>905</v>
      </c>
      <c r="C56" s="26">
        <v>44496.297106481485</v>
      </c>
      <c r="D56">
        <v>5.33</v>
      </c>
      <c r="E56" t="s">
        <v>78</v>
      </c>
      <c r="F56" t="str">
        <f>RIGHT(Table_Query_from_SqlServer11[[#This Row],[item_id]],7)</f>
        <v>A26-422</v>
      </c>
    </row>
    <row r="57" spans="1:6" x14ac:dyDescent="0.25">
      <c r="A57" t="s">
        <v>108</v>
      </c>
      <c r="B57">
        <v>906</v>
      </c>
      <c r="C57" s="26">
        <v>44496.297106481485</v>
      </c>
      <c r="D57">
        <v>5.0999999999999996</v>
      </c>
      <c r="E57" t="s">
        <v>80</v>
      </c>
      <c r="F57" t="str">
        <f>RIGHT(Table_Query_from_SqlServer11[[#This Row],[item_id]],7)</f>
        <v>A26-422</v>
      </c>
    </row>
    <row r="58" spans="1:6" x14ac:dyDescent="0.25">
      <c r="A58" t="s">
        <v>108</v>
      </c>
      <c r="B58">
        <v>1236</v>
      </c>
      <c r="C58" s="26">
        <v>44472.428622685184</v>
      </c>
      <c r="D58">
        <v>4.37</v>
      </c>
      <c r="E58" t="s">
        <v>82</v>
      </c>
      <c r="F58" t="str">
        <f>RIGHT(Table_Query_from_SqlServer11[[#This Row],[item_id]],7)</f>
        <v>A26-422</v>
      </c>
    </row>
    <row r="59" spans="1:6" x14ac:dyDescent="0.25">
      <c r="A59" t="s">
        <v>108</v>
      </c>
      <c r="B59">
        <v>1237</v>
      </c>
      <c r="C59" s="26">
        <v>44472.428622685184</v>
      </c>
      <c r="D59">
        <v>4.3899999999999997</v>
      </c>
      <c r="E59" t="s">
        <v>84</v>
      </c>
      <c r="F59" t="str">
        <f>RIGHT(Table_Query_from_SqlServer11[[#This Row],[item_id]],7)</f>
        <v>A26-422</v>
      </c>
    </row>
    <row r="60" spans="1:6" x14ac:dyDescent="0.25">
      <c r="A60" t="s">
        <v>109</v>
      </c>
      <c r="B60">
        <v>1236</v>
      </c>
      <c r="C60" s="26">
        <v>44487.443402777775</v>
      </c>
      <c r="D60">
        <v>0.8</v>
      </c>
      <c r="E60" t="s">
        <v>82</v>
      </c>
      <c r="F60" t="str">
        <f>RIGHT(Table_Query_from_SqlServer11[[#This Row],[item_id]],7)</f>
        <v>A26-423</v>
      </c>
    </row>
    <row r="61" spans="1:6" x14ac:dyDescent="0.25">
      <c r="A61" t="s">
        <v>109</v>
      </c>
      <c r="B61">
        <v>1237</v>
      </c>
      <c r="C61" s="26">
        <v>44487.443599537037</v>
      </c>
      <c r="D61">
        <v>0.82</v>
      </c>
      <c r="E61" t="s">
        <v>84</v>
      </c>
      <c r="F61" t="str">
        <f>RIGHT(Table_Query_from_SqlServer11[[#This Row],[item_id]],7)</f>
        <v>A26-423</v>
      </c>
    </row>
    <row r="62" spans="1:6" x14ac:dyDescent="0.25">
      <c r="A62" t="s">
        <v>109</v>
      </c>
      <c r="B62">
        <v>906</v>
      </c>
      <c r="C62" s="26">
        <v>44494.687071759261</v>
      </c>
      <c r="D62">
        <v>1.05</v>
      </c>
      <c r="E62" t="s">
        <v>80</v>
      </c>
      <c r="F62" t="str">
        <f>RIGHT(Table_Query_from_SqlServer11[[#This Row],[item_id]],7)</f>
        <v>A26-423</v>
      </c>
    </row>
    <row r="63" spans="1:6" x14ac:dyDescent="0.25">
      <c r="A63" t="s">
        <v>109</v>
      </c>
      <c r="B63">
        <v>905</v>
      </c>
      <c r="C63" s="26">
        <v>44494.687071759261</v>
      </c>
      <c r="D63">
        <v>1.05</v>
      </c>
      <c r="E63" t="s">
        <v>78</v>
      </c>
      <c r="F63" t="str">
        <f>RIGHT(Table_Query_from_SqlServer11[[#This Row],[item_id]],7)</f>
        <v>A26-423</v>
      </c>
    </row>
    <row r="64" spans="1:6" x14ac:dyDescent="0.25">
      <c r="A64" t="s">
        <v>110</v>
      </c>
      <c r="B64">
        <v>905</v>
      </c>
      <c r="C64" s="26">
        <v>44503.482615740744</v>
      </c>
      <c r="D64">
        <v>4.46</v>
      </c>
      <c r="E64" t="s">
        <v>78</v>
      </c>
      <c r="F64" t="str">
        <f>RIGHT(Table_Query_from_SqlServer11[[#This Row],[item_id]],7)</f>
        <v>A26-424</v>
      </c>
    </row>
    <row r="65" spans="1:6" x14ac:dyDescent="0.25">
      <c r="A65" t="s">
        <v>110</v>
      </c>
      <c r="B65">
        <v>905</v>
      </c>
      <c r="C65" s="26">
        <v>44522.298333333332</v>
      </c>
      <c r="D65">
        <v>5.32</v>
      </c>
      <c r="E65" t="s">
        <v>78</v>
      </c>
      <c r="F65" t="str">
        <f>RIGHT(Table_Query_from_SqlServer11[[#This Row],[item_id]],7)</f>
        <v>A26-424</v>
      </c>
    </row>
    <row r="66" spans="1:6" x14ac:dyDescent="0.25">
      <c r="A66" t="s">
        <v>110</v>
      </c>
      <c r="B66">
        <v>906</v>
      </c>
      <c r="C66" s="26">
        <v>44503.482615740744</v>
      </c>
      <c r="D66">
        <v>4.6100000000000003</v>
      </c>
      <c r="E66" t="s">
        <v>80</v>
      </c>
      <c r="F66" t="str">
        <f>RIGHT(Table_Query_from_SqlServer11[[#This Row],[item_id]],7)</f>
        <v>A26-424</v>
      </c>
    </row>
    <row r="67" spans="1:6" x14ac:dyDescent="0.25">
      <c r="A67" t="s">
        <v>110</v>
      </c>
      <c r="B67">
        <v>906</v>
      </c>
      <c r="C67" s="26">
        <v>44522.298333333332</v>
      </c>
      <c r="D67">
        <v>5.56</v>
      </c>
      <c r="E67" t="s">
        <v>80</v>
      </c>
      <c r="F67" t="str">
        <f>RIGHT(Table_Query_from_SqlServer11[[#This Row],[item_id]],7)</f>
        <v>A26-424</v>
      </c>
    </row>
    <row r="68" spans="1:6" x14ac:dyDescent="0.25">
      <c r="A68" t="s">
        <v>110</v>
      </c>
      <c r="B68">
        <v>1236</v>
      </c>
      <c r="C68" s="26">
        <v>44498.243148148147</v>
      </c>
      <c r="D68">
        <v>4.47</v>
      </c>
      <c r="E68" t="s">
        <v>82</v>
      </c>
      <c r="F68" t="str">
        <f>RIGHT(Table_Query_from_SqlServer11[[#This Row],[item_id]],7)</f>
        <v>A26-424</v>
      </c>
    </row>
    <row r="69" spans="1:6" x14ac:dyDescent="0.25">
      <c r="A69" t="s">
        <v>110</v>
      </c>
      <c r="B69">
        <v>1237</v>
      </c>
      <c r="C69" s="26">
        <v>44498.243148148147</v>
      </c>
      <c r="D69">
        <v>4.54</v>
      </c>
      <c r="E69" t="s">
        <v>84</v>
      </c>
      <c r="F69" t="str">
        <f>RIGHT(Table_Query_from_SqlServer11[[#This Row],[item_id]],7)</f>
        <v>A26-424</v>
      </c>
    </row>
    <row r="70" spans="1:6" x14ac:dyDescent="0.25">
      <c r="A70" t="s">
        <v>110</v>
      </c>
      <c r="B70">
        <v>1236</v>
      </c>
      <c r="C70" s="26">
        <v>44513.35365740741</v>
      </c>
      <c r="D70">
        <v>4.3899999999999997</v>
      </c>
      <c r="E70" t="s">
        <v>82</v>
      </c>
      <c r="F70" t="str">
        <f>RIGHT(Table_Query_from_SqlServer11[[#This Row],[item_id]],7)</f>
        <v>A26-424</v>
      </c>
    </row>
    <row r="71" spans="1:6" x14ac:dyDescent="0.25">
      <c r="A71" t="s">
        <v>110</v>
      </c>
      <c r="B71">
        <v>1237</v>
      </c>
      <c r="C71" s="26">
        <v>44513.35365740741</v>
      </c>
      <c r="D71">
        <v>4.41</v>
      </c>
      <c r="E71" t="s">
        <v>84</v>
      </c>
      <c r="F71" t="str">
        <f>RIGHT(Table_Query_from_SqlServer11[[#This Row],[item_id]],7)</f>
        <v>A26-424</v>
      </c>
    </row>
    <row r="72" spans="1:6" x14ac:dyDescent="0.25">
      <c r="A72" t="s">
        <v>111</v>
      </c>
      <c r="B72">
        <v>1236</v>
      </c>
      <c r="C72" s="26">
        <v>44513.372743055559</v>
      </c>
      <c r="D72">
        <v>0.42</v>
      </c>
      <c r="E72" t="s">
        <v>82</v>
      </c>
      <c r="F72" t="str">
        <f>RIGHT(Table_Query_from_SqlServer11[[#This Row],[item_id]],7)</f>
        <v>A26-425</v>
      </c>
    </row>
    <row r="73" spans="1:6" x14ac:dyDescent="0.25">
      <c r="A73" t="s">
        <v>111</v>
      </c>
      <c r="B73">
        <v>1237</v>
      </c>
      <c r="C73" s="26">
        <v>44513.372743055559</v>
      </c>
      <c r="D73">
        <v>0.46</v>
      </c>
      <c r="E73" t="s">
        <v>84</v>
      </c>
      <c r="F73" t="str">
        <f>RIGHT(Table_Query_from_SqlServer11[[#This Row],[item_id]],7)</f>
        <v>A26-425</v>
      </c>
    </row>
    <row r="74" spans="1:6" x14ac:dyDescent="0.25">
      <c r="A74" t="s">
        <v>111</v>
      </c>
      <c r="B74">
        <v>906</v>
      </c>
      <c r="C74" s="26">
        <v>44522.295428240737</v>
      </c>
      <c r="D74">
        <v>0.64</v>
      </c>
      <c r="E74" t="s">
        <v>80</v>
      </c>
      <c r="F74" t="str">
        <f>RIGHT(Table_Query_from_SqlServer11[[#This Row],[item_id]],7)</f>
        <v>A26-425</v>
      </c>
    </row>
    <row r="75" spans="1:6" x14ac:dyDescent="0.25">
      <c r="A75" t="s">
        <v>111</v>
      </c>
      <c r="B75">
        <v>905</v>
      </c>
      <c r="C75" s="26">
        <v>44522.295428240737</v>
      </c>
      <c r="D75">
        <v>0.7</v>
      </c>
      <c r="E75" t="s">
        <v>78</v>
      </c>
      <c r="F75" t="str">
        <f>RIGHT(Table_Query_from_SqlServer11[[#This Row],[item_id]],7)</f>
        <v>A26-425</v>
      </c>
    </row>
    <row r="76" spans="1:6" x14ac:dyDescent="0.25">
      <c r="A76" t="s">
        <v>112</v>
      </c>
      <c r="B76">
        <v>905</v>
      </c>
      <c r="C76" s="26">
        <v>44553.47210648148</v>
      </c>
      <c r="D76">
        <v>5.64</v>
      </c>
      <c r="E76" t="s">
        <v>78</v>
      </c>
      <c r="F76" t="str">
        <f>RIGHT(Table_Query_from_SqlServer11[[#This Row],[item_id]],7)</f>
        <v>A26-426</v>
      </c>
    </row>
    <row r="77" spans="1:6" x14ac:dyDescent="0.25">
      <c r="A77" t="s">
        <v>112</v>
      </c>
      <c r="B77">
        <v>906</v>
      </c>
      <c r="C77" s="26">
        <v>44553.472418981481</v>
      </c>
      <c r="D77">
        <v>5.54</v>
      </c>
      <c r="E77" t="s">
        <v>80</v>
      </c>
      <c r="F77" t="str">
        <f>RIGHT(Table_Query_from_SqlServer11[[#This Row],[item_id]],7)</f>
        <v>A26-426</v>
      </c>
    </row>
    <row r="78" spans="1:6" x14ac:dyDescent="0.25">
      <c r="A78" t="s">
        <v>112</v>
      </c>
      <c r="B78">
        <v>1236</v>
      </c>
      <c r="C78" s="26">
        <v>44532.402754629627</v>
      </c>
      <c r="D78">
        <v>4.7</v>
      </c>
      <c r="E78" t="s">
        <v>82</v>
      </c>
      <c r="F78" t="str">
        <f>RIGHT(Table_Query_from_SqlServer11[[#This Row],[item_id]],7)</f>
        <v>A26-426</v>
      </c>
    </row>
    <row r="79" spans="1:6" x14ac:dyDescent="0.25">
      <c r="A79" t="s">
        <v>112</v>
      </c>
      <c r="B79">
        <v>1237</v>
      </c>
      <c r="C79" s="26">
        <v>44532.402754629627</v>
      </c>
      <c r="D79">
        <v>4.68</v>
      </c>
      <c r="E79" t="s">
        <v>84</v>
      </c>
      <c r="F79" t="str">
        <f>RIGHT(Table_Query_from_SqlServer11[[#This Row],[item_id]],7)</f>
        <v>A26-426</v>
      </c>
    </row>
    <row r="80" spans="1:6" x14ac:dyDescent="0.25">
      <c r="A80" t="s">
        <v>113</v>
      </c>
      <c r="B80">
        <v>1236</v>
      </c>
      <c r="C80" s="26">
        <v>44538.594224537039</v>
      </c>
      <c r="D80">
        <v>4.42</v>
      </c>
      <c r="E80" t="s">
        <v>82</v>
      </c>
      <c r="F80" t="str">
        <f>RIGHT(Table_Query_from_SqlServer11[[#This Row],[item_id]],7)</f>
        <v>A26-427</v>
      </c>
    </row>
    <row r="81" spans="1:6" x14ac:dyDescent="0.25">
      <c r="A81" t="s">
        <v>113</v>
      </c>
      <c r="B81">
        <v>1237</v>
      </c>
      <c r="C81" s="26">
        <v>44538.594224537039</v>
      </c>
      <c r="D81">
        <v>4.63</v>
      </c>
      <c r="E81" t="s">
        <v>84</v>
      </c>
      <c r="F81" t="str">
        <f>RIGHT(Table_Query_from_SqlServer11[[#This Row],[item_id]],7)</f>
        <v>A26-427</v>
      </c>
    </row>
    <row r="82" spans="1:6" x14ac:dyDescent="0.25">
      <c r="A82" t="s">
        <v>113</v>
      </c>
      <c r="B82">
        <v>906</v>
      </c>
      <c r="C82" s="26">
        <v>44553.471226851849</v>
      </c>
      <c r="D82">
        <v>5.49</v>
      </c>
      <c r="E82" t="s">
        <v>80</v>
      </c>
      <c r="F82" t="str">
        <f>RIGHT(Table_Query_from_SqlServer11[[#This Row],[item_id]],7)</f>
        <v>A26-427</v>
      </c>
    </row>
    <row r="83" spans="1:6" x14ac:dyDescent="0.25">
      <c r="A83" t="s">
        <v>113</v>
      </c>
      <c r="B83">
        <v>905</v>
      </c>
      <c r="C83" s="26">
        <v>44553.471006944441</v>
      </c>
      <c r="D83">
        <v>5.48</v>
      </c>
      <c r="E83" t="s">
        <v>78</v>
      </c>
      <c r="F83" t="str">
        <f>RIGHT(Table_Query_from_SqlServer11[[#This Row],[item_id]],7)</f>
        <v>A26-427</v>
      </c>
    </row>
    <row r="84" spans="1:6" x14ac:dyDescent="0.25">
      <c r="A84" t="s">
        <v>114</v>
      </c>
      <c r="B84">
        <v>905</v>
      </c>
      <c r="C84" s="26">
        <v>44565.509351851855</v>
      </c>
      <c r="D84">
        <v>5.17</v>
      </c>
      <c r="E84" t="s">
        <v>78</v>
      </c>
      <c r="F84" t="str">
        <f>RIGHT(Table_Query_from_SqlServer11[[#This Row],[item_id]],7)</f>
        <v>A26-428</v>
      </c>
    </row>
    <row r="85" spans="1:6" x14ac:dyDescent="0.25">
      <c r="A85" t="s">
        <v>114</v>
      </c>
      <c r="B85">
        <v>906</v>
      </c>
      <c r="C85" s="26">
        <v>44565.509722222225</v>
      </c>
      <c r="D85">
        <v>5.25</v>
      </c>
      <c r="E85" t="s">
        <v>80</v>
      </c>
      <c r="F85" t="str">
        <f>RIGHT(Table_Query_from_SqlServer11[[#This Row],[item_id]],7)</f>
        <v>A26-428</v>
      </c>
    </row>
    <row r="86" spans="1:6" x14ac:dyDescent="0.25">
      <c r="A86" t="s">
        <v>114</v>
      </c>
      <c r="B86">
        <v>1236</v>
      </c>
      <c r="C86" s="26">
        <v>44553.481689814813</v>
      </c>
      <c r="D86">
        <v>4.2699999999999996</v>
      </c>
      <c r="E86" t="s">
        <v>82</v>
      </c>
      <c r="F86" t="str">
        <f>RIGHT(Table_Query_from_SqlServer11[[#This Row],[item_id]],7)</f>
        <v>A26-428</v>
      </c>
    </row>
    <row r="87" spans="1:6" x14ac:dyDescent="0.25">
      <c r="A87" t="s">
        <v>114</v>
      </c>
      <c r="B87">
        <v>1237</v>
      </c>
      <c r="C87" s="26">
        <v>44553.482118055559</v>
      </c>
      <c r="D87">
        <v>4.51</v>
      </c>
      <c r="E87" t="s">
        <v>84</v>
      </c>
      <c r="F87" t="str">
        <f>RIGHT(Table_Query_from_SqlServer11[[#This Row],[item_id]],7)</f>
        <v>A26-428</v>
      </c>
    </row>
    <row r="88" spans="1:6" x14ac:dyDescent="0.25">
      <c r="A88" t="s">
        <v>115</v>
      </c>
      <c r="B88">
        <v>1236</v>
      </c>
      <c r="C88" s="26">
        <v>44569.672592592593</v>
      </c>
      <c r="D88">
        <v>4.46</v>
      </c>
      <c r="E88" t="s">
        <v>82</v>
      </c>
      <c r="F88" t="str">
        <f>RIGHT(Table_Query_from_SqlServer11[[#This Row],[item_id]],7)</f>
        <v>A26-429</v>
      </c>
    </row>
    <row r="89" spans="1:6" x14ac:dyDescent="0.25">
      <c r="A89" t="s">
        <v>115</v>
      </c>
      <c r="B89">
        <v>1237</v>
      </c>
      <c r="C89" s="26">
        <v>44569.672592592593</v>
      </c>
      <c r="D89">
        <v>4.26</v>
      </c>
      <c r="E89" t="s">
        <v>84</v>
      </c>
      <c r="F89" t="str">
        <f>RIGHT(Table_Query_from_SqlServer11[[#This Row],[item_id]],7)</f>
        <v>A26-429</v>
      </c>
    </row>
    <row r="90" spans="1:6" x14ac:dyDescent="0.25">
      <c r="A90" t="s">
        <v>115</v>
      </c>
      <c r="B90">
        <v>906</v>
      </c>
      <c r="C90" s="26">
        <v>44580.382685185185</v>
      </c>
      <c r="D90">
        <v>5.69</v>
      </c>
      <c r="E90" t="s">
        <v>80</v>
      </c>
      <c r="F90" t="str">
        <f>RIGHT(Table_Query_from_SqlServer11[[#This Row],[item_id]],7)</f>
        <v>A26-429</v>
      </c>
    </row>
    <row r="91" spans="1:6" x14ac:dyDescent="0.25">
      <c r="A91" t="s">
        <v>115</v>
      </c>
      <c r="B91">
        <v>905</v>
      </c>
      <c r="C91" s="26">
        <v>44580.38244212963</v>
      </c>
      <c r="D91">
        <v>5.62</v>
      </c>
      <c r="E91" t="s">
        <v>78</v>
      </c>
      <c r="F91" t="str">
        <f>RIGHT(Table_Query_from_SqlServer11[[#This Row],[item_id]],7)</f>
        <v>A26-429</v>
      </c>
    </row>
    <row r="92" spans="1:6" x14ac:dyDescent="0.25">
      <c r="A92" t="s">
        <v>116</v>
      </c>
      <c r="B92">
        <v>905</v>
      </c>
      <c r="C92" s="26">
        <v>44589.477488425924</v>
      </c>
      <c r="D92">
        <v>5.62</v>
      </c>
      <c r="E92" t="s">
        <v>78</v>
      </c>
      <c r="F92" t="str">
        <f>RIGHT(Table_Query_from_SqlServer11[[#This Row],[item_id]],7)</f>
        <v>A26-430</v>
      </c>
    </row>
    <row r="93" spans="1:6" x14ac:dyDescent="0.25">
      <c r="A93" t="s">
        <v>116</v>
      </c>
      <c r="B93">
        <v>906</v>
      </c>
      <c r="C93" s="26">
        <v>44589.477858796294</v>
      </c>
      <c r="D93">
        <v>5.3</v>
      </c>
      <c r="E93" t="s">
        <v>80</v>
      </c>
      <c r="F93" t="str">
        <f>RIGHT(Table_Query_from_SqlServer11[[#This Row],[item_id]],7)</f>
        <v>A26-430</v>
      </c>
    </row>
    <row r="94" spans="1:6" x14ac:dyDescent="0.25">
      <c r="A94" t="s">
        <v>116</v>
      </c>
      <c r="B94">
        <v>1236</v>
      </c>
      <c r="C94" s="26">
        <v>44580.323692129627</v>
      </c>
      <c r="D94">
        <v>4.6399999999999997</v>
      </c>
      <c r="E94" t="s">
        <v>82</v>
      </c>
      <c r="F94" t="str">
        <f>RIGHT(Table_Query_from_SqlServer11[[#This Row],[item_id]],7)</f>
        <v>A26-430</v>
      </c>
    </row>
    <row r="95" spans="1:6" x14ac:dyDescent="0.25">
      <c r="A95" t="s">
        <v>116</v>
      </c>
      <c r="B95">
        <v>1237</v>
      </c>
      <c r="C95" s="26">
        <v>44580.324016203704</v>
      </c>
      <c r="D95">
        <v>4.63</v>
      </c>
      <c r="E95" t="s">
        <v>84</v>
      </c>
      <c r="F95" t="str">
        <f>RIGHT(Table_Query_from_SqlServer11[[#This Row],[item_id]],7)</f>
        <v>A26-430</v>
      </c>
    </row>
    <row r="96" spans="1:6" x14ac:dyDescent="0.25">
      <c r="A96" t="s">
        <v>117</v>
      </c>
      <c r="B96">
        <v>1236</v>
      </c>
      <c r="C96" s="26">
        <v>44589.480312500003</v>
      </c>
      <c r="D96">
        <v>4.55</v>
      </c>
      <c r="E96" t="s">
        <v>82</v>
      </c>
      <c r="F96" t="str">
        <f>RIGHT(Table_Query_from_SqlServer11[[#This Row],[item_id]],7)</f>
        <v>A26-431</v>
      </c>
    </row>
    <row r="97" spans="1:6" x14ac:dyDescent="0.25">
      <c r="A97" t="s">
        <v>117</v>
      </c>
      <c r="B97">
        <v>1237</v>
      </c>
      <c r="C97" s="26">
        <v>44589.480520833335</v>
      </c>
      <c r="D97">
        <v>4.6399999999999997</v>
      </c>
      <c r="E97" t="s">
        <v>84</v>
      </c>
      <c r="F97" t="str">
        <f>RIGHT(Table_Query_from_SqlServer11[[#This Row],[item_id]],7)</f>
        <v>A26-431</v>
      </c>
    </row>
    <row r="98" spans="1:6" x14ac:dyDescent="0.25">
      <c r="A98" t="s">
        <v>117</v>
      </c>
      <c r="B98">
        <v>906</v>
      </c>
      <c r="C98" s="26">
        <v>44596.619618055556</v>
      </c>
      <c r="D98">
        <v>5.44</v>
      </c>
      <c r="E98" t="s">
        <v>80</v>
      </c>
      <c r="F98" t="str">
        <f>RIGHT(Table_Query_from_SqlServer11[[#This Row],[item_id]],7)</f>
        <v>A26-431</v>
      </c>
    </row>
    <row r="99" spans="1:6" x14ac:dyDescent="0.25">
      <c r="A99" t="s">
        <v>117</v>
      </c>
      <c r="B99">
        <v>905</v>
      </c>
      <c r="C99" s="26">
        <v>44596.619351851848</v>
      </c>
      <c r="D99">
        <v>5.39</v>
      </c>
      <c r="E99" t="s">
        <v>78</v>
      </c>
      <c r="F99" t="str">
        <f>RIGHT(Table_Query_from_SqlServer11[[#This Row],[item_id]],7)</f>
        <v>A26-431</v>
      </c>
    </row>
    <row r="100" spans="1:6" x14ac:dyDescent="0.25">
      <c r="A100" t="s">
        <v>118</v>
      </c>
      <c r="B100">
        <v>905</v>
      </c>
      <c r="C100" s="26">
        <v>44697.302893518521</v>
      </c>
      <c r="D100">
        <v>0.59</v>
      </c>
      <c r="E100" t="s">
        <v>78</v>
      </c>
      <c r="F100" t="str">
        <f>RIGHT(Table_Query_from_SqlServer11[[#This Row],[item_id]],7)</f>
        <v>A26-436</v>
      </c>
    </row>
    <row r="101" spans="1:6" x14ac:dyDescent="0.25">
      <c r="A101" t="s">
        <v>118</v>
      </c>
      <c r="B101">
        <v>906</v>
      </c>
      <c r="C101" s="26">
        <v>44697.303124999999</v>
      </c>
      <c r="D101">
        <v>0.55000000000000004</v>
      </c>
      <c r="E101" t="s">
        <v>80</v>
      </c>
      <c r="F101" t="str">
        <f>RIGHT(Table_Query_from_SqlServer11[[#This Row],[item_id]],7)</f>
        <v>A26-436</v>
      </c>
    </row>
    <row r="102" spans="1:6" x14ac:dyDescent="0.25">
      <c r="A102" t="s">
        <v>118</v>
      </c>
      <c r="B102">
        <v>1236</v>
      </c>
      <c r="C102" s="26">
        <v>44690.598032407404</v>
      </c>
      <c r="D102">
        <v>0.44</v>
      </c>
      <c r="E102" t="s">
        <v>82</v>
      </c>
      <c r="F102" t="str">
        <f>RIGHT(Table_Query_from_SqlServer11[[#This Row],[item_id]],7)</f>
        <v>A26-436</v>
      </c>
    </row>
    <row r="103" spans="1:6" x14ac:dyDescent="0.25">
      <c r="A103" t="s">
        <v>118</v>
      </c>
      <c r="B103">
        <v>1237</v>
      </c>
      <c r="C103" s="26">
        <v>44690.598032407404</v>
      </c>
      <c r="D103">
        <v>0.39</v>
      </c>
      <c r="E103" t="s">
        <v>84</v>
      </c>
      <c r="F103" t="str">
        <f>RIGHT(Table_Query_from_SqlServer11[[#This Row],[item_id]],7)</f>
        <v>A26-436</v>
      </c>
    </row>
    <row r="104" spans="1:6" x14ac:dyDescent="0.25">
      <c r="A104" t="s">
        <v>119</v>
      </c>
      <c r="B104">
        <v>1236</v>
      </c>
      <c r="C104" s="26">
        <v>44700.53292824074</v>
      </c>
      <c r="D104">
        <v>0.43</v>
      </c>
      <c r="E104" t="s">
        <v>82</v>
      </c>
      <c r="F104" t="str">
        <f>RIGHT(Table_Query_from_SqlServer11[[#This Row],[item_id]],7)</f>
        <v>A26-437</v>
      </c>
    </row>
    <row r="105" spans="1:6" x14ac:dyDescent="0.25">
      <c r="A105" t="s">
        <v>119</v>
      </c>
      <c r="B105">
        <v>1237</v>
      </c>
      <c r="C105" s="26">
        <v>44700.53292824074</v>
      </c>
      <c r="D105">
        <v>0.44</v>
      </c>
      <c r="E105" t="s">
        <v>84</v>
      </c>
      <c r="F105" t="str">
        <f>RIGHT(Table_Query_from_SqlServer11[[#This Row],[item_id]],7)</f>
        <v>A26-437</v>
      </c>
    </row>
    <row r="106" spans="1:6" x14ac:dyDescent="0.25">
      <c r="A106" t="s">
        <v>119</v>
      </c>
      <c r="B106">
        <v>906</v>
      </c>
      <c r="C106" s="26">
        <v>44711.396469907406</v>
      </c>
      <c r="D106">
        <v>0.56000000000000005</v>
      </c>
      <c r="E106" t="s">
        <v>80</v>
      </c>
      <c r="F106" t="str">
        <f>RIGHT(Table_Query_from_SqlServer11[[#This Row],[item_id]],7)</f>
        <v>A26-437</v>
      </c>
    </row>
    <row r="107" spans="1:6" x14ac:dyDescent="0.25">
      <c r="A107" t="s">
        <v>119</v>
      </c>
      <c r="B107">
        <v>905</v>
      </c>
      <c r="C107" s="26">
        <v>44711.396469907406</v>
      </c>
      <c r="D107">
        <v>0.57999999999999996</v>
      </c>
      <c r="E107" t="s">
        <v>78</v>
      </c>
      <c r="F107" t="str">
        <f>RIGHT(Table_Query_from_SqlServer11[[#This Row],[item_id]],7)</f>
        <v>A26-437</v>
      </c>
    </row>
    <row r="108" spans="1:6" x14ac:dyDescent="0.25">
      <c r="A108" t="s">
        <v>120</v>
      </c>
      <c r="B108">
        <v>905</v>
      </c>
      <c r="C108" s="26">
        <v>44732.589525462965</v>
      </c>
      <c r="D108">
        <v>0.57999999999999996</v>
      </c>
      <c r="E108" t="s">
        <v>78</v>
      </c>
      <c r="F108" t="str">
        <f>RIGHT(Table_Query_from_SqlServer11[[#This Row],[item_id]],7)</f>
        <v>A26-438</v>
      </c>
    </row>
    <row r="109" spans="1:6" x14ac:dyDescent="0.25">
      <c r="A109" t="s">
        <v>120</v>
      </c>
      <c r="B109">
        <v>906</v>
      </c>
      <c r="C109" s="26">
        <v>44732.589803240742</v>
      </c>
      <c r="D109">
        <v>0.57999999999999996</v>
      </c>
      <c r="E109" t="s">
        <v>80</v>
      </c>
      <c r="F109" t="str">
        <f>RIGHT(Table_Query_from_SqlServer11[[#This Row],[item_id]],7)</f>
        <v>A26-438</v>
      </c>
    </row>
    <row r="110" spans="1:6" x14ac:dyDescent="0.25">
      <c r="A110" t="s">
        <v>120</v>
      </c>
      <c r="B110">
        <v>1236</v>
      </c>
      <c r="C110" s="26">
        <v>44721.560381944444</v>
      </c>
      <c r="D110">
        <v>0.41</v>
      </c>
      <c r="E110" t="s">
        <v>82</v>
      </c>
      <c r="F110" t="str">
        <f>RIGHT(Table_Query_from_SqlServer11[[#This Row],[item_id]],7)</f>
        <v>A26-438</v>
      </c>
    </row>
    <row r="111" spans="1:6" x14ac:dyDescent="0.25">
      <c r="A111" t="s">
        <v>120</v>
      </c>
      <c r="B111">
        <v>1237</v>
      </c>
      <c r="C111" s="26">
        <v>44721.560381944444</v>
      </c>
      <c r="D111">
        <v>0.43</v>
      </c>
      <c r="E111" t="s">
        <v>84</v>
      </c>
      <c r="F111" t="str">
        <f>RIGHT(Table_Query_from_SqlServer11[[#This Row],[item_id]],7)</f>
        <v>A26-438</v>
      </c>
    </row>
    <row r="112" spans="1:6" x14ac:dyDescent="0.25">
      <c r="A112" t="s">
        <v>121</v>
      </c>
      <c r="B112">
        <v>1236</v>
      </c>
      <c r="C112" s="26">
        <v>44730.538946759261</v>
      </c>
      <c r="D112">
        <v>2.9</v>
      </c>
      <c r="E112" t="s">
        <v>82</v>
      </c>
      <c r="F112" t="str">
        <f>RIGHT(Table_Query_from_SqlServer11[[#This Row],[item_id]],7)</f>
        <v>A26-439</v>
      </c>
    </row>
    <row r="113" spans="1:6" x14ac:dyDescent="0.25">
      <c r="A113" t="s">
        <v>121</v>
      </c>
      <c r="B113">
        <v>1237</v>
      </c>
      <c r="C113" s="26">
        <v>44730.539340277777</v>
      </c>
      <c r="D113">
        <v>2.87</v>
      </c>
      <c r="E113" t="s">
        <v>84</v>
      </c>
      <c r="F113" t="str">
        <f>RIGHT(Table_Query_from_SqlServer11[[#This Row],[item_id]],7)</f>
        <v>A26-439</v>
      </c>
    </row>
    <row r="114" spans="1:6" x14ac:dyDescent="0.25">
      <c r="A114" t="s">
        <v>121</v>
      </c>
      <c r="B114">
        <v>906</v>
      </c>
      <c r="C114" s="26">
        <v>44740.697430555556</v>
      </c>
      <c r="D114">
        <v>3.4</v>
      </c>
      <c r="E114" t="s">
        <v>80</v>
      </c>
      <c r="F114" t="str">
        <f>RIGHT(Table_Query_from_SqlServer11[[#This Row],[item_id]],7)</f>
        <v>A26-439</v>
      </c>
    </row>
    <row r="115" spans="1:6" x14ac:dyDescent="0.25">
      <c r="A115" t="s">
        <v>121</v>
      </c>
      <c r="B115">
        <v>905</v>
      </c>
      <c r="C115" s="26">
        <v>44740.697430555556</v>
      </c>
      <c r="D115">
        <v>3.63</v>
      </c>
      <c r="E115" t="s">
        <v>78</v>
      </c>
      <c r="F115" t="str">
        <f>RIGHT(Table_Query_from_SqlServer11[[#This Row],[item_id]],7)</f>
        <v>A26-439</v>
      </c>
    </row>
    <row r="116" spans="1:6" x14ac:dyDescent="0.25">
      <c r="A116" t="s">
        <v>122</v>
      </c>
      <c r="B116">
        <v>905</v>
      </c>
      <c r="C116" s="26">
        <v>44754.636724537035</v>
      </c>
      <c r="D116">
        <v>3.59</v>
      </c>
      <c r="E116" t="s">
        <v>78</v>
      </c>
      <c r="F116" t="str">
        <f>RIGHT(Table_Query_from_SqlServer11[[#This Row],[item_id]],7)</f>
        <v>A26-440</v>
      </c>
    </row>
    <row r="117" spans="1:6" x14ac:dyDescent="0.25">
      <c r="A117" t="s">
        <v>122</v>
      </c>
      <c r="B117">
        <v>906</v>
      </c>
      <c r="C117" s="26">
        <v>44754.636724537035</v>
      </c>
      <c r="D117">
        <v>3.53</v>
      </c>
      <c r="E117" t="s">
        <v>80</v>
      </c>
      <c r="F117" t="str">
        <f>RIGHT(Table_Query_from_SqlServer11[[#This Row],[item_id]],7)</f>
        <v>A26-440</v>
      </c>
    </row>
    <row r="118" spans="1:6" x14ac:dyDescent="0.25">
      <c r="A118" t="s">
        <v>122</v>
      </c>
      <c r="B118">
        <v>1236</v>
      </c>
      <c r="C118" s="26">
        <v>44743.36037037037</v>
      </c>
      <c r="D118">
        <v>2.94</v>
      </c>
      <c r="E118" t="s">
        <v>82</v>
      </c>
      <c r="F118" t="str">
        <f>RIGHT(Table_Query_from_SqlServer11[[#This Row],[item_id]],7)</f>
        <v>A26-440</v>
      </c>
    </row>
    <row r="119" spans="1:6" x14ac:dyDescent="0.25">
      <c r="A119" t="s">
        <v>122</v>
      </c>
      <c r="B119">
        <v>1237</v>
      </c>
      <c r="C119" s="26">
        <v>44743.360648148147</v>
      </c>
      <c r="D119">
        <v>2.99</v>
      </c>
      <c r="E119" t="s">
        <v>84</v>
      </c>
      <c r="F119" t="str">
        <f>RIGHT(Table_Query_from_SqlServer11[[#This Row],[item_id]],7)</f>
        <v>A26-440</v>
      </c>
    </row>
    <row r="120" spans="1:6" x14ac:dyDescent="0.25">
      <c r="A120" t="s">
        <v>123</v>
      </c>
      <c r="B120">
        <v>1236</v>
      </c>
      <c r="C120" s="26">
        <v>44758.532743055555</v>
      </c>
      <c r="D120">
        <v>0.36</v>
      </c>
      <c r="E120" t="s">
        <v>82</v>
      </c>
      <c r="F120" t="str">
        <f>RIGHT(Table_Query_from_SqlServer11[[#This Row],[item_id]],7)</f>
        <v>A26-441</v>
      </c>
    </row>
    <row r="121" spans="1:6" x14ac:dyDescent="0.25">
      <c r="A121" t="s">
        <v>123</v>
      </c>
      <c r="B121">
        <v>1237</v>
      </c>
      <c r="C121" s="26">
        <v>44758.533171296294</v>
      </c>
      <c r="D121">
        <v>0.37</v>
      </c>
      <c r="E121" t="s">
        <v>84</v>
      </c>
      <c r="F121" t="str">
        <f>RIGHT(Table_Query_from_SqlServer11[[#This Row],[item_id]],7)</f>
        <v>A26-441</v>
      </c>
    </row>
    <row r="122" spans="1:6" x14ac:dyDescent="0.25">
      <c r="A122" t="s">
        <v>123</v>
      </c>
      <c r="B122">
        <v>906</v>
      </c>
      <c r="C122" s="26">
        <v>44768.339259259257</v>
      </c>
      <c r="D122">
        <v>0.44</v>
      </c>
      <c r="E122" t="s">
        <v>80</v>
      </c>
      <c r="F122" t="str">
        <f>RIGHT(Table_Query_from_SqlServer11[[#This Row],[item_id]],7)</f>
        <v>A26-441</v>
      </c>
    </row>
    <row r="123" spans="1:6" x14ac:dyDescent="0.25">
      <c r="A123" t="s">
        <v>123</v>
      </c>
      <c r="B123">
        <v>905</v>
      </c>
      <c r="C123" s="26">
        <v>44768.339259259257</v>
      </c>
      <c r="D123">
        <v>0.47</v>
      </c>
      <c r="E123" t="s">
        <v>78</v>
      </c>
      <c r="F123" t="str">
        <f>RIGHT(Table_Query_from_SqlServer11[[#This Row],[item_id]],7)</f>
        <v>A26-441</v>
      </c>
    </row>
    <row r="124" spans="1:6" x14ac:dyDescent="0.25">
      <c r="A124" t="s">
        <v>124</v>
      </c>
      <c r="B124">
        <v>905</v>
      </c>
      <c r="C124" s="26">
        <v>44776.616944444446</v>
      </c>
      <c r="D124">
        <v>3.05</v>
      </c>
      <c r="E124" t="s">
        <v>78</v>
      </c>
      <c r="F124" t="str">
        <f>RIGHT(Table_Query_from_SqlServer11[[#This Row],[item_id]],7)</f>
        <v>A26-442</v>
      </c>
    </row>
    <row r="125" spans="1:6" x14ac:dyDescent="0.25">
      <c r="A125" t="s">
        <v>124</v>
      </c>
      <c r="B125">
        <v>906</v>
      </c>
      <c r="C125" s="26">
        <v>44776.616944444446</v>
      </c>
      <c r="D125">
        <v>2.88</v>
      </c>
      <c r="E125" t="s">
        <v>80</v>
      </c>
      <c r="F125" t="str">
        <f>RIGHT(Table_Query_from_SqlServer11[[#This Row],[item_id]],7)</f>
        <v>A26-442</v>
      </c>
    </row>
    <row r="126" spans="1:6" x14ac:dyDescent="0.25">
      <c r="A126" t="s">
        <v>124</v>
      </c>
      <c r="B126">
        <v>1236</v>
      </c>
      <c r="C126" s="26">
        <v>44770.468969907408</v>
      </c>
      <c r="D126">
        <v>2.4300000000000002</v>
      </c>
      <c r="E126" t="s">
        <v>82</v>
      </c>
      <c r="F126" t="str">
        <f>RIGHT(Table_Query_from_SqlServer11[[#This Row],[item_id]],7)</f>
        <v>A26-442</v>
      </c>
    </row>
    <row r="127" spans="1:6" x14ac:dyDescent="0.25">
      <c r="A127" t="s">
        <v>124</v>
      </c>
      <c r="B127">
        <v>1237</v>
      </c>
      <c r="C127" s="26">
        <v>44770.468969907408</v>
      </c>
      <c r="D127">
        <v>2.4700000000000002</v>
      </c>
      <c r="E127" t="s">
        <v>84</v>
      </c>
      <c r="F127" t="str">
        <f>RIGHT(Table_Query_from_SqlServer11[[#This Row],[item_id]],7)</f>
        <v>A26-442</v>
      </c>
    </row>
    <row r="128" spans="1:6" x14ac:dyDescent="0.25">
      <c r="A128" t="s">
        <v>125</v>
      </c>
      <c r="B128">
        <v>1237</v>
      </c>
      <c r="C128" s="26">
        <v>44795.400694444441</v>
      </c>
      <c r="D128">
        <v>2.46</v>
      </c>
      <c r="E128" t="s">
        <v>84</v>
      </c>
      <c r="F128" t="str">
        <f>RIGHT(Table_Query_from_SqlServer11[[#This Row],[item_id]],7)</f>
        <v>A26-443</v>
      </c>
    </row>
    <row r="129" spans="1:6" x14ac:dyDescent="0.25">
      <c r="A129" t="s">
        <v>125</v>
      </c>
      <c r="B129">
        <v>1236</v>
      </c>
      <c r="C129" s="26">
        <v>44795.400879629633</v>
      </c>
      <c r="D129">
        <v>2.48</v>
      </c>
      <c r="E129" t="s">
        <v>82</v>
      </c>
      <c r="F129" t="str">
        <f>RIGHT(Table_Query_from_SqlServer11[[#This Row],[item_id]],7)</f>
        <v>A26-443</v>
      </c>
    </row>
    <row r="130" spans="1:6" x14ac:dyDescent="0.25">
      <c r="A130" t="s">
        <v>125</v>
      </c>
      <c r="B130">
        <v>906</v>
      </c>
      <c r="C130" s="26">
        <v>44802.385300925926</v>
      </c>
      <c r="D130">
        <v>3.02</v>
      </c>
      <c r="E130" t="s">
        <v>80</v>
      </c>
      <c r="F130" t="str">
        <f>RIGHT(Table_Query_from_SqlServer11[[#This Row],[item_id]],7)</f>
        <v>A26-443</v>
      </c>
    </row>
    <row r="131" spans="1:6" x14ac:dyDescent="0.25">
      <c r="A131" t="s">
        <v>125</v>
      </c>
      <c r="B131">
        <v>905</v>
      </c>
      <c r="C131" s="26">
        <v>44802.38484953704</v>
      </c>
      <c r="D131">
        <v>3.11</v>
      </c>
      <c r="E131" t="s">
        <v>78</v>
      </c>
      <c r="F131" t="str">
        <f>RIGHT(Table_Query_from_SqlServer11[[#This Row],[item_id]],7)</f>
        <v>A26-443</v>
      </c>
    </row>
    <row r="132" spans="1:6" x14ac:dyDescent="0.25">
      <c r="A132" t="s">
        <v>126</v>
      </c>
      <c r="B132">
        <v>905</v>
      </c>
      <c r="C132" s="26">
        <v>44820.46607638889</v>
      </c>
      <c r="D132">
        <v>5.14</v>
      </c>
      <c r="E132" t="s">
        <v>78</v>
      </c>
      <c r="F132" t="str">
        <f>RIGHT(Table_Query_from_SqlServer11[[#This Row],[item_id]],7)</f>
        <v>A26-444</v>
      </c>
    </row>
    <row r="133" spans="1:6" x14ac:dyDescent="0.25">
      <c r="A133" t="s">
        <v>126</v>
      </c>
      <c r="B133">
        <v>906</v>
      </c>
      <c r="C133" s="26">
        <v>44820.466215277775</v>
      </c>
      <c r="D133">
        <v>5.03</v>
      </c>
      <c r="E133" t="s">
        <v>80</v>
      </c>
      <c r="F133" t="str">
        <f>RIGHT(Table_Query_from_SqlServer11[[#This Row],[item_id]],7)</f>
        <v>A26-444</v>
      </c>
    </row>
    <row r="134" spans="1:6" x14ac:dyDescent="0.25">
      <c r="A134" t="s">
        <v>126</v>
      </c>
      <c r="B134">
        <v>1236</v>
      </c>
      <c r="C134" s="26">
        <v>44810.898738425924</v>
      </c>
      <c r="D134">
        <v>4.24</v>
      </c>
      <c r="E134" t="s">
        <v>82</v>
      </c>
      <c r="F134" t="str">
        <f>RIGHT(Table_Query_from_SqlServer11[[#This Row],[item_id]],7)</f>
        <v>A26-444</v>
      </c>
    </row>
    <row r="135" spans="1:6" x14ac:dyDescent="0.25">
      <c r="A135" t="s">
        <v>126</v>
      </c>
      <c r="B135">
        <v>1237</v>
      </c>
      <c r="C135" s="26">
        <v>44810.898738425924</v>
      </c>
      <c r="D135">
        <v>4.24</v>
      </c>
      <c r="E135" t="s">
        <v>84</v>
      </c>
      <c r="F135" t="str">
        <f>RIGHT(Table_Query_from_SqlServer11[[#This Row],[item_id]],7)</f>
        <v>A26-444</v>
      </c>
    </row>
    <row r="136" spans="1:6" x14ac:dyDescent="0.25">
      <c r="A136" t="s">
        <v>127</v>
      </c>
      <c r="B136">
        <v>1236</v>
      </c>
      <c r="C136" s="26">
        <v>44820.467233796298</v>
      </c>
      <c r="D136">
        <v>4.16</v>
      </c>
      <c r="E136" t="s">
        <v>82</v>
      </c>
      <c r="F136" t="str">
        <f>RIGHT(Table_Query_from_SqlServer11[[#This Row],[item_id]],7)</f>
        <v>A26-445</v>
      </c>
    </row>
    <row r="137" spans="1:6" x14ac:dyDescent="0.25">
      <c r="A137" t="s">
        <v>127</v>
      </c>
      <c r="B137">
        <v>1237</v>
      </c>
      <c r="C137" s="26">
        <v>44820.467361111114</v>
      </c>
      <c r="D137">
        <v>4.32</v>
      </c>
      <c r="E137" t="s">
        <v>84</v>
      </c>
      <c r="F137" t="str">
        <f>RIGHT(Table_Query_from_SqlServer11[[#This Row],[item_id]],7)</f>
        <v>A26-445</v>
      </c>
    </row>
    <row r="138" spans="1:6" x14ac:dyDescent="0.25">
      <c r="A138" t="s">
        <v>127</v>
      </c>
      <c r="B138">
        <v>906</v>
      </c>
      <c r="C138" s="26">
        <v>44826.921087962961</v>
      </c>
      <c r="D138">
        <v>5</v>
      </c>
      <c r="E138" t="s">
        <v>80</v>
      </c>
      <c r="F138" t="str">
        <f>RIGHT(Table_Query_from_SqlServer11[[#This Row],[item_id]],7)</f>
        <v>A26-445</v>
      </c>
    </row>
    <row r="139" spans="1:6" x14ac:dyDescent="0.25">
      <c r="A139" t="s">
        <v>127</v>
      </c>
      <c r="B139">
        <v>905</v>
      </c>
      <c r="C139" s="26">
        <v>44826.921087962961</v>
      </c>
      <c r="D139">
        <v>5.17</v>
      </c>
      <c r="E139" t="s">
        <v>78</v>
      </c>
      <c r="F139" t="str">
        <f>RIGHT(Table_Query_from_SqlServer11[[#This Row],[item_id]],7)</f>
        <v>A26-445</v>
      </c>
    </row>
    <row r="140" spans="1:6" x14ac:dyDescent="0.25">
      <c r="A140" t="s">
        <v>128</v>
      </c>
      <c r="B140">
        <v>905</v>
      </c>
      <c r="C140" s="26">
        <v>44901.591168981482</v>
      </c>
      <c r="D140">
        <v>5.15</v>
      </c>
      <c r="E140" t="s">
        <v>78</v>
      </c>
      <c r="F140" t="str">
        <f>RIGHT(Table_Query_from_SqlServer11[[#This Row],[item_id]],7)</f>
        <v>A26-451</v>
      </c>
    </row>
    <row r="141" spans="1:6" x14ac:dyDescent="0.25">
      <c r="A141" t="s">
        <v>128</v>
      </c>
      <c r="B141">
        <v>906</v>
      </c>
      <c r="C141" s="26">
        <v>44901.59134259259</v>
      </c>
      <c r="D141">
        <v>5.0599999999999996</v>
      </c>
      <c r="E141" t="s">
        <v>80</v>
      </c>
      <c r="F141" t="str">
        <f>RIGHT(Table_Query_from_SqlServer11[[#This Row],[item_id]],7)</f>
        <v>A26-451</v>
      </c>
    </row>
    <row r="142" spans="1:6" x14ac:dyDescent="0.25">
      <c r="A142" t="s">
        <v>128</v>
      </c>
      <c r="B142">
        <v>1236</v>
      </c>
      <c r="C142" s="26">
        <v>44891.439386574071</v>
      </c>
      <c r="D142">
        <v>4.3</v>
      </c>
      <c r="E142" t="s">
        <v>82</v>
      </c>
      <c r="F142" t="str">
        <f>RIGHT(Table_Query_from_SqlServer11[[#This Row],[item_id]],7)</f>
        <v>A26-451</v>
      </c>
    </row>
    <row r="143" spans="1:6" x14ac:dyDescent="0.25">
      <c r="A143" t="s">
        <v>128</v>
      </c>
      <c r="B143">
        <v>1237</v>
      </c>
      <c r="C143" s="26">
        <v>44891.439386574071</v>
      </c>
      <c r="D143">
        <v>4.3</v>
      </c>
      <c r="E143" t="s">
        <v>84</v>
      </c>
      <c r="F143" t="str">
        <f>RIGHT(Table_Query_from_SqlServer11[[#This Row],[item_id]],7)</f>
        <v>A26-451</v>
      </c>
    </row>
    <row r="144" spans="1:6" x14ac:dyDescent="0.25">
      <c r="A144" t="s">
        <v>129</v>
      </c>
      <c r="B144">
        <v>1237</v>
      </c>
      <c r="C144" s="26">
        <v>44910.577488425923</v>
      </c>
      <c r="D144">
        <v>2.78</v>
      </c>
      <c r="E144" t="s">
        <v>84</v>
      </c>
      <c r="F144" t="str">
        <f>RIGHT(Table_Query_from_SqlServer11[[#This Row],[item_id]],7)</f>
        <v>A26-452</v>
      </c>
    </row>
    <row r="145" spans="1:6" x14ac:dyDescent="0.25">
      <c r="A145" t="s">
        <v>129</v>
      </c>
      <c r="B145">
        <v>1236</v>
      </c>
      <c r="C145" s="26">
        <v>44910.577696759261</v>
      </c>
      <c r="D145">
        <v>2.75</v>
      </c>
      <c r="E145" t="s">
        <v>82</v>
      </c>
      <c r="F145" t="str">
        <f>RIGHT(Table_Query_from_SqlServer11[[#This Row],[item_id]],7)</f>
        <v>A26-452</v>
      </c>
    </row>
    <row r="146" spans="1:6" x14ac:dyDescent="0.25">
      <c r="A146" t="s">
        <v>129</v>
      </c>
      <c r="B146">
        <v>906</v>
      </c>
      <c r="C146" s="26">
        <v>44916.444826388892</v>
      </c>
      <c r="D146">
        <v>3.38</v>
      </c>
      <c r="E146" t="s">
        <v>80</v>
      </c>
      <c r="F146" t="str">
        <f>RIGHT(Table_Query_from_SqlServer11[[#This Row],[item_id]],7)</f>
        <v>A26-452</v>
      </c>
    </row>
    <row r="147" spans="1:6" x14ac:dyDescent="0.25">
      <c r="A147" t="s">
        <v>129</v>
      </c>
      <c r="B147">
        <v>905</v>
      </c>
      <c r="C147" s="26">
        <v>44916.444918981484</v>
      </c>
      <c r="D147">
        <v>3.39</v>
      </c>
      <c r="E147" t="s">
        <v>78</v>
      </c>
      <c r="F147" t="str">
        <f>RIGHT(Table_Query_from_SqlServer11[[#This Row],[item_id]],7)</f>
        <v>A26-452</v>
      </c>
    </row>
    <row r="148" spans="1:6" x14ac:dyDescent="0.25">
      <c r="A148" t="s">
        <v>130</v>
      </c>
      <c r="B148">
        <v>905</v>
      </c>
      <c r="C148" s="26">
        <v>44943.685347222221</v>
      </c>
      <c r="D148">
        <v>6.17</v>
      </c>
      <c r="E148" t="s">
        <v>78</v>
      </c>
      <c r="F148" t="str">
        <f>RIGHT(Table_Query_from_SqlServer11[[#This Row],[item_id]],7)</f>
        <v>A26-453</v>
      </c>
    </row>
    <row r="149" spans="1:6" x14ac:dyDescent="0.25">
      <c r="A149" t="s">
        <v>130</v>
      </c>
      <c r="B149">
        <v>906</v>
      </c>
      <c r="C149" s="26">
        <v>44943.685347222221</v>
      </c>
      <c r="D149">
        <v>6.27</v>
      </c>
      <c r="E149" t="s">
        <v>80</v>
      </c>
      <c r="F149" t="str">
        <f>RIGHT(Table_Query_from_SqlServer11[[#This Row],[item_id]],7)</f>
        <v>A26-453</v>
      </c>
    </row>
    <row r="150" spans="1:6" x14ac:dyDescent="0.25">
      <c r="A150" t="s">
        <v>130</v>
      </c>
      <c r="B150">
        <v>1236</v>
      </c>
      <c r="C150" s="26">
        <v>44935.593159722222</v>
      </c>
      <c r="D150">
        <v>5.15</v>
      </c>
      <c r="E150" t="s">
        <v>82</v>
      </c>
      <c r="F150" t="str">
        <f>RIGHT(Table_Query_from_SqlServer11[[#This Row],[item_id]],7)</f>
        <v>A26-453</v>
      </c>
    </row>
    <row r="151" spans="1:6" x14ac:dyDescent="0.25">
      <c r="A151" t="s">
        <v>130</v>
      </c>
      <c r="B151">
        <v>1237</v>
      </c>
      <c r="C151" s="26">
        <v>44935.593287037038</v>
      </c>
      <c r="D151">
        <v>5.28</v>
      </c>
      <c r="E151" t="s">
        <v>84</v>
      </c>
      <c r="F151" t="str">
        <f>RIGHT(Table_Query_from_SqlServer11[[#This Row],[item_id]],7)</f>
        <v>A26-453</v>
      </c>
    </row>
    <row r="152" spans="1:6" x14ac:dyDescent="0.25">
      <c r="A152" t="s">
        <v>131</v>
      </c>
      <c r="B152">
        <v>1236</v>
      </c>
      <c r="C152" s="26">
        <v>44948.63453703704</v>
      </c>
      <c r="D152">
        <v>2.39</v>
      </c>
      <c r="E152" t="s">
        <v>82</v>
      </c>
      <c r="F152" t="str">
        <f>RIGHT(Table_Query_from_SqlServer11[[#This Row],[item_id]],7)</f>
        <v>A26-454</v>
      </c>
    </row>
    <row r="153" spans="1:6" x14ac:dyDescent="0.25">
      <c r="A153" t="s">
        <v>131</v>
      </c>
      <c r="B153">
        <v>1237</v>
      </c>
      <c r="C153" s="26">
        <v>44948.63453703704</v>
      </c>
      <c r="D153">
        <v>2.41</v>
      </c>
      <c r="E153" t="s">
        <v>84</v>
      </c>
      <c r="F153" t="str">
        <f>RIGHT(Table_Query_from_SqlServer11[[#This Row],[item_id]],7)</f>
        <v>A26-454</v>
      </c>
    </row>
    <row r="154" spans="1:6" x14ac:dyDescent="0.25">
      <c r="A154" t="s">
        <v>131</v>
      </c>
      <c r="B154">
        <v>906</v>
      </c>
      <c r="C154" s="26">
        <v>44959.410520833335</v>
      </c>
      <c r="D154">
        <v>2.98</v>
      </c>
      <c r="E154" t="s">
        <v>80</v>
      </c>
      <c r="F154" t="str">
        <f>RIGHT(Table_Query_from_SqlServer11[[#This Row],[item_id]],7)</f>
        <v>A26-454</v>
      </c>
    </row>
    <row r="155" spans="1:6" x14ac:dyDescent="0.25">
      <c r="A155" t="s">
        <v>131</v>
      </c>
      <c r="B155">
        <v>905</v>
      </c>
      <c r="C155" s="26">
        <v>44959.41028935185</v>
      </c>
      <c r="D155">
        <v>2.99</v>
      </c>
      <c r="E155" t="s">
        <v>78</v>
      </c>
      <c r="F155" t="str">
        <f>RIGHT(Table_Query_from_SqlServer11[[#This Row],[item_id]],7)</f>
        <v>A26-454</v>
      </c>
    </row>
    <row r="156" spans="1:6" x14ac:dyDescent="0.25">
      <c r="A156" t="s">
        <v>132</v>
      </c>
      <c r="B156">
        <v>905</v>
      </c>
      <c r="C156" s="26">
        <v>44973.563611111109</v>
      </c>
      <c r="D156">
        <v>5.0599999999999996</v>
      </c>
      <c r="E156" t="s">
        <v>78</v>
      </c>
      <c r="F156" t="str">
        <f>RIGHT(Table_Query_from_SqlServer11[[#This Row],[item_id]],7)</f>
        <v>A26-455</v>
      </c>
    </row>
    <row r="157" spans="1:6" x14ac:dyDescent="0.25">
      <c r="A157" t="s">
        <v>132</v>
      </c>
      <c r="B157">
        <v>906</v>
      </c>
      <c r="C157" s="26">
        <v>44973.563611111109</v>
      </c>
      <c r="D157">
        <v>5.0599999999999996</v>
      </c>
      <c r="E157" t="s">
        <v>80</v>
      </c>
      <c r="F157" t="str">
        <f>RIGHT(Table_Query_from_SqlServer11[[#This Row],[item_id]],7)</f>
        <v>A26-455</v>
      </c>
    </row>
    <row r="158" spans="1:6" x14ac:dyDescent="0.25">
      <c r="A158" t="s">
        <v>132</v>
      </c>
      <c r="B158">
        <v>1236</v>
      </c>
      <c r="C158" s="26">
        <v>44965.594490740739</v>
      </c>
      <c r="D158">
        <v>4.21</v>
      </c>
      <c r="E158" t="s">
        <v>82</v>
      </c>
      <c r="F158" t="str">
        <f>RIGHT(Table_Query_from_SqlServer11[[#This Row],[item_id]],7)</f>
        <v>A26-455</v>
      </c>
    </row>
    <row r="159" spans="1:6" x14ac:dyDescent="0.25">
      <c r="A159" t="s">
        <v>132</v>
      </c>
      <c r="B159">
        <v>1237</v>
      </c>
      <c r="C159" s="26">
        <v>44965.59474537037</v>
      </c>
      <c r="D159">
        <v>4.26</v>
      </c>
      <c r="E159" t="s">
        <v>84</v>
      </c>
      <c r="F159" t="str">
        <f>RIGHT(Table_Query_from_SqlServer11[[#This Row],[item_id]],7)</f>
        <v>A26-455</v>
      </c>
    </row>
    <row r="160" spans="1:6" x14ac:dyDescent="0.25">
      <c r="A160" t="s">
        <v>133</v>
      </c>
      <c r="B160">
        <v>1236</v>
      </c>
      <c r="C160" s="26">
        <v>44977.588078703702</v>
      </c>
      <c r="D160">
        <v>4.41</v>
      </c>
      <c r="E160" t="s">
        <v>82</v>
      </c>
      <c r="F160" t="str">
        <f>RIGHT(Table_Query_from_SqlServer11[[#This Row],[item_id]],7)</f>
        <v>A26-456</v>
      </c>
    </row>
    <row r="161" spans="1:6" x14ac:dyDescent="0.25">
      <c r="A161" t="s">
        <v>133</v>
      </c>
      <c r="B161">
        <v>1237</v>
      </c>
      <c r="C161" s="26">
        <v>44977.58834490741</v>
      </c>
      <c r="D161">
        <v>4.3899999999999997</v>
      </c>
      <c r="E161" t="s">
        <v>84</v>
      </c>
      <c r="F161" t="str">
        <f>RIGHT(Table_Query_from_SqlServer11[[#This Row],[item_id]],7)</f>
        <v>A26-456</v>
      </c>
    </row>
    <row r="162" spans="1:6" x14ac:dyDescent="0.25">
      <c r="A162" t="s">
        <v>133</v>
      </c>
      <c r="B162">
        <v>906</v>
      </c>
      <c r="C162" s="26">
        <v>44984.591331018521</v>
      </c>
      <c r="D162">
        <v>5.08</v>
      </c>
      <c r="E162" t="s">
        <v>80</v>
      </c>
      <c r="F162" t="str">
        <f>RIGHT(Table_Query_from_SqlServer11[[#This Row],[item_id]],7)</f>
        <v>A26-456</v>
      </c>
    </row>
    <row r="163" spans="1:6" x14ac:dyDescent="0.25">
      <c r="A163" t="s">
        <v>133</v>
      </c>
      <c r="B163">
        <v>905</v>
      </c>
      <c r="C163" s="26">
        <v>44984.591331018521</v>
      </c>
      <c r="D163">
        <v>5.25</v>
      </c>
      <c r="E163" t="s">
        <v>78</v>
      </c>
      <c r="F163" t="str">
        <f>RIGHT(Table_Query_from_SqlServer11[[#This Row],[item_id]],7)</f>
        <v>A26-456</v>
      </c>
    </row>
    <row r="164" spans="1:6" x14ac:dyDescent="0.25">
      <c r="A164" t="s">
        <v>134</v>
      </c>
      <c r="B164">
        <v>905</v>
      </c>
      <c r="C164" s="26">
        <v>45013.745578703703</v>
      </c>
      <c r="D164">
        <v>5.86</v>
      </c>
      <c r="E164" t="s">
        <v>78</v>
      </c>
      <c r="F164" t="str">
        <f>RIGHT(Table_Query_from_SqlServer11[[#This Row],[item_id]],7)</f>
        <v>A26-457</v>
      </c>
    </row>
    <row r="165" spans="1:6" x14ac:dyDescent="0.25">
      <c r="A165" t="s">
        <v>134</v>
      </c>
      <c r="B165">
        <v>906</v>
      </c>
      <c r="C165" s="26">
        <v>45013.745578703703</v>
      </c>
      <c r="D165">
        <v>5.83</v>
      </c>
      <c r="E165" t="s">
        <v>80</v>
      </c>
      <c r="F165" t="str">
        <f>RIGHT(Table_Query_from_SqlServer11[[#This Row],[item_id]],7)</f>
        <v>A26-457</v>
      </c>
    </row>
    <row r="166" spans="1:6" x14ac:dyDescent="0.25">
      <c r="A166" t="s">
        <v>134</v>
      </c>
      <c r="B166">
        <v>1237</v>
      </c>
      <c r="C166" s="26">
        <v>45005.632060185184</v>
      </c>
      <c r="D166">
        <v>5.2</v>
      </c>
      <c r="E166" t="s">
        <v>84</v>
      </c>
      <c r="F166" t="str">
        <f>RIGHT(Table_Query_from_SqlServer11[[#This Row],[item_id]],7)</f>
        <v>A26-457</v>
      </c>
    </row>
    <row r="167" spans="1:6" x14ac:dyDescent="0.25">
      <c r="A167" t="s">
        <v>134</v>
      </c>
      <c r="B167">
        <v>1236</v>
      </c>
      <c r="C167" s="26">
        <v>45005.631608796299</v>
      </c>
      <c r="D167">
        <v>5.0999999999999996</v>
      </c>
      <c r="E167" t="s">
        <v>82</v>
      </c>
      <c r="F167" t="str">
        <f>RIGHT(Table_Query_from_SqlServer11[[#This Row],[item_id]],7)</f>
        <v>A26-457</v>
      </c>
    </row>
    <row r="168" spans="1:6" x14ac:dyDescent="0.25">
      <c r="A168" t="s">
        <v>135</v>
      </c>
      <c r="B168">
        <v>1236</v>
      </c>
      <c r="C168" s="26">
        <v>45026.494074074071</v>
      </c>
      <c r="D168">
        <v>1.048</v>
      </c>
      <c r="E168" t="s">
        <v>82</v>
      </c>
      <c r="F168" t="str">
        <f>RIGHT(Table_Query_from_SqlServer11[[#This Row],[item_id]],7)</f>
        <v>A26-458</v>
      </c>
    </row>
    <row r="169" spans="1:6" x14ac:dyDescent="0.25">
      <c r="A169" t="s">
        <v>135</v>
      </c>
      <c r="B169">
        <v>1237</v>
      </c>
      <c r="C169" s="26">
        <v>45026.494074074071</v>
      </c>
      <c r="D169">
        <v>1.038</v>
      </c>
      <c r="E169" t="s">
        <v>84</v>
      </c>
      <c r="F169" t="str">
        <f>RIGHT(Table_Query_from_SqlServer11[[#This Row],[item_id]],7)</f>
        <v>A26-458</v>
      </c>
    </row>
    <row r="170" spans="1:6" x14ac:dyDescent="0.25">
      <c r="A170" t="s">
        <v>135</v>
      </c>
      <c r="B170">
        <v>906</v>
      </c>
      <c r="C170" s="26">
        <v>45047.568032407406</v>
      </c>
      <c r="D170">
        <v>5.48</v>
      </c>
      <c r="E170" t="s">
        <v>80</v>
      </c>
      <c r="F170" t="str">
        <f>RIGHT(Table_Query_from_SqlServer11[[#This Row],[item_id]],7)</f>
        <v>A26-458</v>
      </c>
    </row>
    <row r="171" spans="1:6" x14ac:dyDescent="0.25">
      <c r="A171" t="s">
        <v>135</v>
      </c>
      <c r="B171">
        <v>905</v>
      </c>
      <c r="C171" s="26">
        <v>45047.568298611113</v>
      </c>
      <c r="D171">
        <v>5.61</v>
      </c>
      <c r="E171" t="s">
        <v>78</v>
      </c>
      <c r="F171" t="str">
        <f>RIGHT(Table_Query_from_SqlServer11[[#This Row],[item_id]],7)</f>
        <v>A26-458</v>
      </c>
    </row>
    <row r="172" spans="1:6" x14ac:dyDescent="0.25">
      <c r="A172" t="s">
        <v>136</v>
      </c>
      <c r="B172">
        <v>905</v>
      </c>
      <c r="C172" s="26">
        <v>45048.325462962966</v>
      </c>
      <c r="D172">
        <v>5.72</v>
      </c>
      <c r="E172" t="s">
        <v>78</v>
      </c>
      <c r="F172" t="str">
        <f>RIGHT(Table_Query_from_SqlServer11[[#This Row],[item_id]],7)</f>
        <v>A26-459</v>
      </c>
    </row>
    <row r="173" spans="1:6" x14ac:dyDescent="0.25">
      <c r="A173" t="s">
        <v>136</v>
      </c>
      <c r="B173">
        <v>906</v>
      </c>
      <c r="C173" s="26">
        <v>45048.325624999998</v>
      </c>
      <c r="D173">
        <v>5.69</v>
      </c>
      <c r="E173" t="s">
        <v>80</v>
      </c>
      <c r="F173" t="str">
        <f>RIGHT(Table_Query_from_SqlServer11[[#This Row],[item_id]],7)</f>
        <v>A26-459</v>
      </c>
    </row>
    <row r="174" spans="1:6" x14ac:dyDescent="0.25">
      <c r="A174" t="s">
        <v>136</v>
      </c>
      <c r="B174">
        <v>1236</v>
      </c>
      <c r="C174" s="26">
        <v>45037.392407407409</v>
      </c>
      <c r="D174">
        <v>1.081</v>
      </c>
      <c r="E174" t="s">
        <v>82</v>
      </c>
      <c r="F174" t="str">
        <f>RIGHT(Table_Query_from_SqlServer11[[#This Row],[item_id]],7)</f>
        <v>A26-459</v>
      </c>
    </row>
    <row r="175" spans="1:6" x14ac:dyDescent="0.25">
      <c r="A175" t="s">
        <v>136</v>
      </c>
      <c r="B175">
        <v>1237</v>
      </c>
      <c r="C175" s="26">
        <v>45037.392407407409</v>
      </c>
      <c r="D175">
        <v>1.0780000000000001</v>
      </c>
      <c r="E175" t="s">
        <v>84</v>
      </c>
      <c r="F175" t="str">
        <f>RIGHT(Table_Query_from_SqlServer11[[#This Row],[item_id]],7)</f>
        <v>A26-459</v>
      </c>
    </row>
    <row r="176" spans="1:6" x14ac:dyDescent="0.25">
      <c r="A176" t="s">
        <v>137</v>
      </c>
      <c r="B176">
        <v>906</v>
      </c>
      <c r="C176" s="26">
        <v>45096.42523148148</v>
      </c>
      <c r="D176">
        <v>0.37</v>
      </c>
      <c r="E176" t="s">
        <v>80</v>
      </c>
      <c r="F176" t="str">
        <f>RIGHT(Table_Query_from_SqlServer11[[#This Row],[item_id]],7)</f>
        <v>A26-463</v>
      </c>
    </row>
    <row r="177" spans="1:6" x14ac:dyDescent="0.25">
      <c r="A177" t="s">
        <v>137</v>
      </c>
      <c r="B177">
        <v>905</v>
      </c>
      <c r="C177" s="26">
        <v>45096.42523148148</v>
      </c>
      <c r="D177">
        <v>0.35</v>
      </c>
      <c r="E177" t="s">
        <v>78</v>
      </c>
      <c r="F177" t="str">
        <f>RIGHT(Table_Query_from_SqlServer11[[#This Row],[item_id]],7)</f>
        <v>A26-463</v>
      </c>
    </row>
    <row r="178" spans="1:6" x14ac:dyDescent="0.25">
      <c r="A178" t="s">
        <v>137</v>
      </c>
      <c r="B178">
        <v>1236</v>
      </c>
      <c r="C178" s="26">
        <v>45089.401284722226</v>
      </c>
      <c r="D178">
        <v>0.32</v>
      </c>
      <c r="E178" t="s">
        <v>82</v>
      </c>
      <c r="F178" t="str">
        <f>RIGHT(Table_Query_from_SqlServer11[[#This Row],[item_id]],7)</f>
        <v>A26-463</v>
      </c>
    </row>
    <row r="179" spans="1:6" x14ac:dyDescent="0.25">
      <c r="A179" t="s">
        <v>137</v>
      </c>
      <c r="B179">
        <v>1237</v>
      </c>
      <c r="C179" s="26">
        <v>45089.401284722226</v>
      </c>
      <c r="D179">
        <v>0.33</v>
      </c>
      <c r="E179" t="s">
        <v>84</v>
      </c>
      <c r="F179" t="str">
        <f>RIGHT(Table_Query_from_SqlServer11[[#This Row],[item_id]],7)</f>
        <v>A26-463</v>
      </c>
    </row>
    <row r="180" spans="1:6" x14ac:dyDescent="0.25">
      <c r="A180" t="s">
        <v>138</v>
      </c>
      <c r="B180">
        <v>1236</v>
      </c>
      <c r="C180" s="26">
        <v>45100.317673611113</v>
      </c>
      <c r="D180">
        <v>4.12</v>
      </c>
      <c r="E180" t="s">
        <v>82</v>
      </c>
      <c r="F180" t="str">
        <f>RIGHT(Table_Query_from_SqlServer11[[#This Row],[item_id]],7)</f>
        <v>A26-464</v>
      </c>
    </row>
    <row r="181" spans="1:6" x14ac:dyDescent="0.25">
      <c r="A181" t="s">
        <v>138</v>
      </c>
      <c r="B181">
        <v>1237</v>
      </c>
      <c r="C181" s="26">
        <v>45100.317673611113</v>
      </c>
      <c r="D181">
        <v>4.09</v>
      </c>
      <c r="E181" t="s">
        <v>84</v>
      </c>
      <c r="F181" t="str">
        <f>RIGHT(Table_Query_from_SqlServer11[[#This Row],[item_id]],7)</f>
        <v>A26-464</v>
      </c>
    </row>
    <row r="182" spans="1:6" x14ac:dyDescent="0.25">
      <c r="A182" t="s">
        <v>138</v>
      </c>
      <c r="B182">
        <v>905</v>
      </c>
      <c r="C182" s="26">
        <v>45110.455636574072</v>
      </c>
      <c r="D182">
        <v>5</v>
      </c>
      <c r="E182" t="s">
        <v>78</v>
      </c>
      <c r="F182" t="str">
        <f>RIGHT(Table_Query_from_SqlServer11[[#This Row],[item_id]],7)</f>
        <v>A26-464</v>
      </c>
    </row>
    <row r="183" spans="1:6" x14ac:dyDescent="0.25">
      <c r="A183" t="s">
        <v>138</v>
      </c>
      <c r="B183">
        <v>906</v>
      </c>
      <c r="C183" s="26">
        <v>45110.455752314818</v>
      </c>
      <c r="D183">
        <v>4.78</v>
      </c>
      <c r="E183" t="s">
        <v>80</v>
      </c>
      <c r="F183" t="str">
        <f>RIGHT(Table_Query_from_SqlServer11[[#This Row],[item_id]],7)</f>
        <v>A26-464</v>
      </c>
    </row>
    <row r="184" spans="1:6" x14ac:dyDescent="0.25">
      <c r="A184" t="s">
        <v>139</v>
      </c>
      <c r="B184">
        <v>906</v>
      </c>
      <c r="C184" s="26">
        <v>45131.403807870367</v>
      </c>
      <c r="D184">
        <v>5.0199999999999996</v>
      </c>
      <c r="E184" t="s">
        <v>80</v>
      </c>
      <c r="F184" t="str">
        <f>RIGHT(Table_Query_from_SqlServer11[[#This Row],[item_id]],7)</f>
        <v>A26-465</v>
      </c>
    </row>
    <row r="185" spans="1:6" x14ac:dyDescent="0.25">
      <c r="A185" t="s">
        <v>139</v>
      </c>
      <c r="B185">
        <v>905</v>
      </c>
      <c r="C185" s="26">
        <v>45131.403807870367</v>
      </c>
      <c r="D185">
        <v>5.04</v>
      </c>
      <c r="E185" t="s">
        <v>78</v>
      </c>
      <c r="F185" t="str">
        <f>RIGHT(Table_Query_from_SqlServer11[[#This Row],[item_id]],7)</f>
        <v>A26-465</v>
      </c>
    </row>
    <row r="186" spans="1:6" x14ac:dyDescent="0.25">
      <c r="A186" t="s">
        <v>139</v>
      </c>
      <c r="B186">
        <v>1236</v>
      </c>
      <c r="C186" s="26">
        <v>45121.364351851851</v>
      </c>
      <c r="D186">
        <v>4.1500000000000004</v>
      </c>
      <c r="E186" t="s">
        <v>82</v>
      </c>
      <c r="F186" t="str">
        <f>RIGHT(Table_Query_from_SqlServer11[[#This Row],[item_id]],7)</f>
        <v>A26-465</v>
      </c>
    </row>
    <row r="187" spans="1:6" x14ac:dyDescent="0.25">
      <c r="A187" t="s">
        <v>139</v>
      </c>
      <c r="B187">
        <v>1237</v>
      </c>
      <c r="C187" s="26">
        <v>45121.364351851851</v>
      </c>
      <c r="D187">
        <v>4.34</v>
      </c>
      <c r="E187" t="s">
        <v>84</v>
      </c>
      <c r="F187" t="str">
        <f>RIGHT(Table_Query_from_SqlServer11[[#This Row],[item_id]],7)</f>
        <v>A26-465</v>
      </c>
    </row>
    <row r="188" spans="1:6" x14ac:dyDescent="0.25">
      <c r="A188" t="s">
        <v>140</v>
      </c>
      <c r="B188">
        <v>1236</v>
      </c>
      <c r="C188" s="26">
        <v>45138.553912037038</v>
      </c>
      <c r="D188">
        <v>4.5999999999999996</v>
      </c>
      <c r="E188" t="s">
        <v>82</v>
      </c>
      <c r="F188" t="str">
        <f>RIGHT(Table_Query_from_SqlServer11[[#This Row],[item_id]],7)</f>
        <v>A26-466</v>
      </c>
    </row>
    <row r="189" spans="1:6" x14ac:dyDescent="0.25">
      <c r="A189" t="s">
        <v>140</v>
      </c>
      <c r="B189">
        <v>1237</v>
      </c>
      <c r="C189" s="26">
        <v>45138.553912037038</v>
      </c>
      <c r="D189">
        <v>4.66</v>
      </c>
      <c r="E189" t="s">
        <v>84</v>
      </c>
      <c r="F189" t="str">
        <f>RIGHT(Table_Query_from_SqlServer11[[#This Row],[item_id]],7)</f>
        <v>A26-466</v>
      </c>
    </row>
    <row r="190" spans="1:6" x14ac:dyDescent="0.25">
      <c r="A190" t="s">
        <v>140</v>
      </c>
      <c r="B190">
        <v>905</v>
      </c>
      <c r="C190" s="26">
        <v>45146.297303240739</v>
      </c>
      <c r="D190">
        <v>5.3</v>
      </c>
      <c r="E190" t="s">
        <v>78</v>
      </c>
      <c r="F190" t="str">
        <f>RIGHT(Table_Query_from_SqlServer11[[#This Row],[item_id]],7)</f>
        <v>A26-466</v>
      </c>
    </row>
    <row r="191" spans="1:6" x14ac:dyDescent="0.25">
      <c r="A191" t="s">
        <v>140</v>
      </c>
      <c r="B191">
        <v>906</v>
      </c>
      <c r="C191" s="26">
        <v>45146.297442129631</v>
      </c>
      <c r="D191">
        <v>5.07</v>
      </c>
      <c r="E191" t="s">
        <v>80</v>
      </c>
      <c r="F191" t="str">
        <f>RIGHT(Table_Query_from_SqlServer11[[#This Row],[item_id]],7)</f>
        <v>A26-466</v>
      </c>
    </row>
    <row r="192" spans="1:6" x14ac:dyDescent="0.25">
      <c r="A192" t="s">
        <v>141</v>
      </c>
      <c r="B192">
        <v>906</v>
      </c>
      <c r="C192" s="26">
        <v>45232.356192129628</v>
      </c>
      <c r="D192">
        <v>0.09</v>
      </c>
      <c r="E192" t="s">
        <v>80</v>
      </c>
      <c r="F192" t="str">
        <f>RIGHT(Table_Query_from_SqlServer11[[#This Row],[item_id]],7)</f>
        <v>A26-471</v>
      </c>
    </row>
    <row r="193" spans="1:6" x14ac:dyDescent="0.25">
      <c r="A193" t="s">
        <v>141</v>
      </c>
      <c r="B193">
        <v>905</v>
      </c>
      <c r="C193" s="26">
        <v>45232.355844907404</v>
      </c>
      <c r="D193">
        <v>7.0000000000000007E-2</v>
      </c>
      <c r="E193" t="s">
        <v>78</v>
      </c>
      <c r="F193" t="str">
        <f>RIGHT(Table_Query_from_SqlServer11[[#This Row],[item_id]],7)</f>
        <v>A26-471</v>
      </c>
    </row>
    <row r="194" spans="1:6" x14ac:dyDescent="0.25">
      <c r="A194" t="s">
        <v>141</v>
      </c>
      <c r="B194">
        <v>1236</v>
      </c>
      <c r="C194" s="26">
        <v>45225.29515046296</v>
      </c>
      <c r="D194">
        <v>0.08</v>
      </c>
      <c r="E194" t="s">
        <v>82</v>
      </c>
      <c r="F194" t="str">
        <f>RIGHT(Table_Query_from_SqlServer11[[#This Row],[item_id]],7)</f>
        <v>A26-471</v>
      </c>
    </row>
    <row r="195" spans="1:6" x14ac:dyDescent="0.25">
      <c r="A195" t="s">
        <v>141</v>
      </c>
      <c r="B195">
        <v>1237</v>
      </c>
      <c r="C195" s="26">
        <v>45225.295601851853</v>
      </c>
      <c r="D195">
        <v>0.11</v>
      </c>
      <c r="E195" t="s">
        <v>84</v>
      </c>
      <c r="F195" t="str">
        <f>RIGHT(Table_Query_from_SqlServer11[[#This Row],[item_id]],7)</f>
        <v>A26-471</v>
      </c>
    </row>
    <row r="196" spans="1:6" x14ac:dyDescent="0.25">
      <c r="A196" t="s">
        <v>142</v>
      </c>
      <c r="B196">
        <v>1236</v>
      </c>
      <c r="C196" s="26">
        <v>45235.457337962966</v>
      </c>
      <c r="D196">
        <v>4.28</v>
      </c>
      <c r="E196" t="s">
        <v>82</v>
      </c>
      <c r="F196" t="str">
        <f>RIGHT(Table_Query_from_SqlServer11[[#This Row],[item_id]],7)</f>
        <v>A26-472</v>
      </c>
    </row>
    <row r="197" spans="1:6" x14ac:dyDescent="0.25">
      <c r="A197" t="s">
        <v>142</v>
      </c>
      <c r="B197">
        <v>1237</v>
      </c>
      <c r="C197" s="26">
        <v>45235.458124999997</v>
      </c>
      <c r="D197">
        <v>4.34</v>
      </c>
      <c r="E197" t="s">
        <v>84</v>
      </c>
      <c r="F197" t="str">
        <f>RIGHT(Table_Query_from_SqlServer11[[#This Row],[item_id]],7)</f>
        <v>A26-472</v>
      </c>
    </row>
    <row r="198" spans="1:6" x14ac:dyDescent="0.25">
      <c r="A198" t="s">
        <v>142</v>
      </c>
      <c r="B198">
        <v>905</v>
      </c>
      <c r="C198" s="26">
        <v>45244.362349537034</v>
      </c>
      <c r="D198">
        <v>5.22</v>
      </c>
      <c r="E198" t="s">
        <v>78</v>
      </c>
      <c r="F198" t="str">
        <f>RIGHT(Table_Query_from_SqlServer11[[#This Row],[item_id]],7)</f>
        <v>A26-472</v>
      </c>
    </row>
    <row r="199" spans="1:6" x14ac:dyDescent="0.25">
      <c r="A199" t="s">
        <v>142</v>
      </c>
      <c r="B199">
        <v>906</v>
      </c>
      <c r="C199" s="26">
        <v>45244.362349537034</v>
      </c>
      <c r="D199">
        <v>5.08</v>
      </c>
      <c r="E199" t="s">
        <v>80</v>
      </c>
      <c r="F199" t="str">
        <f>RIGHT(Table_Query_from_SqlServer11[[#This Row],[item_id]],7)</f>
        <v>A26-472</v>
      </c>
    </row>
    <row r="200" spans="1:6" x14ac:dyDescent="0.25">
      <c r="A200" t="s">
        <v>143</v>
      </c>
      <c r="B200">
        <v>905</v>
      </c>
      <c r="C200" s="26">
        <v>45271.495798611111</v>
      </c>
      <c r="D200">
        <v>1.23</v>
      </c>
      <c r="E200" t="s">
        <v>78</v>
      </c>
      <c r="F200" t="str">
        <f>RIGHT(Table_Query_from_SqlServer11[[#This Row],[item_id]],7)</f>
        <v>A26-473</v>
      </c>
    </row>
    <row r="201" spans="1:6" x14ac:dyDescent="0.25">
      <c r="A201" t="s">
        <v>143</v>
      </c>
      <c r="B201">
        <v>1236</v>
      </c>
      <c r="C201" s="26">
        <v>45246.343738425923</v>
      </c>
      <c r="D201">
        <v>0.91</v>
      </c>
      <c r="E201" t="s">
        <v>82</v>
      </c>
      <c r="F201" t="str">
        <f>RIGHT(Table_Query_from_SqlServer11[[#This Row],[item_id]],7)</f>
        <v>A26-473</v>
      </c>
    </row>
    <row r="202" spans="1:6" x14ac:dyDescent="0.25">
      <c r="A202" t="s">
        <v>143</v>
      </c>
      <c r="B202">
        <v>1237</v>
      </c>
      <c r="C202" s="26">
        <v>45246.343738425923</v>
      </c>
      <c r="D202">
        <v>0.93</v>
      </c>
      <c r="E202" t="s">
        <v>84</v>
      </c>
      <c r="F202" t="str">
        <f>RIGHT(Table_Query_from_SqlServer11[[#This Row],[item_id]],7)</f>
        <v>A26-473</v>
      </c>
    </row>
    <row r="203" spans="1:6" x14ac:dyDescent="0.25">
      <c r="A203" t="s">
        <v>143</v>
      </c>
      <c r="B203">
        <v>1236</v>
      </c>
      <c r="C203" s="26">
        <v>45246.343738425923</v>
      </c>
      <c r="D203">
        <v>0.91</v>
      </c>
      <c r="E203" t="s">
        <v>82</v>
      </c>
      <c r="F203" t="str">
        <f>RIGHT(Table_Query_from_SqlServer11[[#This Row],[item_id]],7)</f>
        <v>A26-473</v>
      </c>
    </row>
    <row r="204" spans="1:6" x14ac:dyDescent="0.25">
      <c r="A204" t="s">
        <v>143</v>
      </c>
      <c r="B204">
        <v>1237</v>
      </c>
      <c r="C204" s="26">
        <v>45246.343738425923</v>
      </c>
      <c r="D204">
        <v>0.93</v>
      </c>
      <c r="E204" t="s">
        <v>84</v>
      </c>
      <c r="F204" t="str">
        <f>RIGHT(Table_Query_from_SqlServer11[[#This Row],[item_id]],7)</f>
        <v>A26-473</v>
      </c>
    </row>
    <row r="205" spans="1:6" x14ac:dyDescent="0.25">
      <c r="A205" t="s">
        <v>143</v>
      </c>
      <c r="B205">
        <v>906</v>
      </c>
      <c r="C205" s="26">
        <v>45271.495798611111</v>
      </c>
      <c r="D205">
        <v>1.24</v>
      </c>
      <c r="E205" t="s">
        <v>80</v>
      </c>
      <c r="F205" t="str">
        <f>RIGHT(Table_Query_from_SqlServer11[[#This Row],[item_id]],7)</f>
        <v>A26-473</v>
      </c>
    </row>
    <row r="206" spans="1:6" x14ac:dyDescent="0.25">
      <c r="A206" t="s">
        <v>144</v>
      </c>
      <c r="B206">
        <v>1236</v>
      </c>
      <c r="C206" s="26">
        <v>45261.434027777781</v>
      </c>
      <c r="D206">
        <v>4.38</v>
      </c>
      <c r="E206" t="s">
        <v>82</v>
      </c>
      <c r="F206" t="str">
        <f>RIGHT(Table_Query_from_SqlServer11[[#This Row],[item_id]],7)</f>
        <v>A26-474</v>
      </c>
    </row>
    <row r="207" spans="1:6" x14ac:dyDescent="0.25">
      <c r="A207" t="s">
        <v>144</v>
      </c>
      <c r="B207">
        <v>1237</v>
      </c>
      <c r="C207" s="26">
        <v>45261.434212962966</v>
      </c>
      <c r="D207">
        <v>4.37</v>
      </c>
      <c r="E207" t="s">
        <v>84</v>
      </c>
      <c r="F207" t="str">
        <f>RIGHT(Table_Query_from_SqlServer11[[#This Row],[item_id]],7)</f>
        <v>A26-474</v>
      </c>
    </row>
    <row r="208" spans="1:6" x14ac:dyDescent="0.25">
      <c r="A208" t="s">
        <v>144</v>
      </c>
      <c r="B208">
        <v>905</v>
      </c>
      <c r="C208" s="26">
        <v>45271.467291666668</v>
      </c>
      <c r="D208">
        <v>5.19</v>
      </c>
      <c r="E208" t="s">
        <v>78</v>
      </c>
      <c r="F208" t="str">
        <f>RIGHT(Table_Query_from_SqlServer11[[#This Row],[item_id]],7)</f>
        <v>A26-474</v>
      </c>
    </row>
    <row r="209" spans="1:6" x14ac:dyDescent="0.25">
      <c r="A209" t="s">
        <v>144</v>
      </c>
      <c r="B209">
        <v>906</v>
      </c>
      <c r="C209" s="26">
        <v>45271.467291666668</v>
      </c>
      <c r="D209">
        <v>5.19</v>
      </c>
      <c r="E209" t="s">
        <v>80</v>
      </c>
      <c r="F209" t="str">
        <f>RIGHT(Table_Query_from_SqlServer11[[#This Row],[item_id]],7)</f>
        <v>A26-474</v>
      </c>
    </row>
    <row r="210" spans="1:6" x14ac:dyDescent="0.25">
      <c r="A210" t="s">
        <v>145</v>
      </c>
      <c r="B210">
        <v>906</v>
      </c>
      <c r="C210" s="26">
        <v>45281.445347222223</v>
      </c>
      <c r="D210">
        <v>0.61</v>
      </c>
      <c r="E210" t="s">
        <v>80</v>
      </c>
      <c r="F210" t="str">
        <f>RIGHT(Table_Query_from_SqlServer11[[#This Row],[item_id]],7)</f>
        <v>A26-475</v>
      </c>
    </row>
    <row r="211" spans="1:6" x14ac:dyDescent="0.25">
      <c r="A211" t="s">
        <v>145</v>
      </c>
      <c r="B211">
        <v>905</v>
      </c>
      <c r="C211" s="26">
        <v>45281.445347222223</v>
      </c>
      <c r="D211">
        <v>0.61</v>
      </c>
      <c r="E211" t="s">
        <v>78</v>
      </c>
      <c r="F211" t="str">
        <f>RIGHT(Table_Query_from_SqlServer11[[#This Row],[item_id]],7)</f>
        <v>A26-475</v>
      </c>
    </row>
    <row r="212" spans="1:6" x14ac:dyDescent="0.25">
      <c r="A212" t="s">
        <v>145</v>
      </c>
      <c r="B212">
        <v>1236</v>
      </c>
      <c r="C212" s="26">
        <v>45274.645648148151</v>
      </c>
      <c r="D212">
        <v>0.4</v>
      </c>
      <c r="E212" t="s">
        <v>82</v>
      </c>
      <c r="F212" t="str">
        <f>RIGHT(Table_Query_from_SqlServer11[[#This Row],[item_id]],7)</f>
        <v>A26-475</v>
      </c>
    </row>
    <row r="213" spans="1:6" x14ac:dyDescent="0.25">
      <c r="A213" t="s">
        <v>145</v>
      </c>
      <c r="B213">
        <v>1237</v>
      </c>
      <c r="C213" s="26">
        <v>45274.645648148151</v>
      </c>
      <c r="D213">
        <v>0.43</v>
      </c>
      <c r="E213" t="s">
        <v>84</v>
      </c>
      <c r="F213" t="str">
        <f>RIGHT(Table_Query_from_SqlServer11[[#This Row],[item_id]],7)</f>
        <v>A26-475</v>
      </c>
    </row>
    <row r="214" spans="1:6" x14ac:dyDescent="0.25">
      <c r="A214" t="s">
        <v>146</v>
      </c>
      <c r="B214">
        <v>1236</v>
      </c>
      <c r="C214" s="26">
        <v>45299.405185185184</v>
      </c>
      <c r="D214">
        <v>0.47</v>
      </c>
      <c r="E214" t="s">
        <v>82</v>
      </c>
      <c r="F214" t="str">
        <f>RIGHT(Table_Query_from_SqlServer11[[#This Row],[item_id]],7)</f>
        <v>A26-476</v>
      </c>
    </row>
    <row r="215" spans="1:6" x14ac:dyDescent="0.25">
      <c r="A215" t="s">
        <v>146</v>
      </c>
      <c r="B215">
        <v>1237</v>
      </c>
      <c r="C215" s="26">
        <v>45299.405312499999</v>
      </c>
      <c r="D215">
        <v>0.45</v>
      </c>
      <c r="E215" t="s">
        <v>84</v>
      </c>
      <c r="F215" t="str">
        <f>RIGHT(Table_Query_from_SqlServer11[[#This Row],[item_id]],7)</f>
        <v>A26-476</v>
      </c>
    </row>
    <row r="216" spans="1:6" x14ac:dyDescent="0.25">
      <c r="A216" t="s">
        <v>146</v>
      </c>
      <c r="B216">
        <v>906</v>
      </c>
      <c r="C216" s="26">
        <v>45307.306666666664</v>
      </c>
      <c r="D216">
        <v>0.59</v>
      </c>
      <c r="E216" t="s">
        <v>80</v>
      </c>
      <c r="F216" t="str">
        <f>RIGHT(Table_Query_from_SqlServer11[[#This Row],[item_id]],7)</f>
        <v>A26-476</v>
      </c>
    </row>
    <row r="217" spans="1:6" x14ac:dyDescent="0.25">
      <c r="A217" t="s">
        <v>146</v>
      </c>
      <c r="B217">
        <v>905</v>
      </c>
      <c r="C217" s="26">
        <v>45307.305532407408</v>
      </c>
      <c r="D217">
        <v>0.61</v>
      </c>
      <c r="E217" t="s">
        <v>78</v>
      </c>
      <c r="F217" t="str">
        <f>RIGHT(Table_Query_from_SqlServer11[[#This Row],[item_id]],7)</f>
        <v>A26-476</v>
      </c>
    </row>
    <row r="218" spans="1:6" x14ac:dyDescent="0.25">
      <c r="A218" t="s">
        <v>147</v>
      </c>
      <c r="B218">
        <v>905</v>
      </c>
      <c r="C218" s="26">
        <v>45320.308738425927</v>
      </c>
      <c r="D218">
        <v>5.17</v>
      </c>
      <c r="E218" t="s">
        <v>78</v>
      </c>
      <c r="F218" t="str">
        <f>RIGHT(Table_Query_from_SqlServer11[[#This Row],[item_id]],7)</f>
        <v>A26-477</v>
      </c>
    </row>
    <row r="219" spans="1:6" x14ac:dyDescent="0.25">
      <c r="A219" t="s">
        <v>147</v>
      </c>
      <c r="B219">
        <v>906</v>
      </c>
      <c r="C219" s="26">
        <v>45320.308738425927</v>
      </c>
      <c r="D219">
        <v>5.08</v>
      </c>
      <c r="E219" t="s">
        <v>80</v>
      </c>
      <c r="F219" t="str">
        <f>RIGHT(Table_Query_from_SqlServer11[[#This Row],[item_id]],7)</f>
        <v>A26-477</v>
      </c>
    </row>
    <row r="220" spans="1:6" x14ac:dyDescent="0.25">
      <c r="A220" t="s">
        <v>147</v>
      </c>
      <c r="B220">
        <v>1236</v>
      </c>
      <c r="C220" s="26">
        <v>45312.742256944446</v>
      </c>
      <c r="D220">
        <v>4.3499999999999996</v>
      </c>
      <c r="E220" t="s">
        <v>82</v>
      </c>
      <c r="F220" t="str">
        <f>RIGHT(Table_Query_from_SqlServer11[[#This Row],[item_id]],7)</f>
        <v>A26-477</v>
      </c>
    </row>
    <row r="221" spans="1:6" x14ac:dyDescent="0.25">
      <c r="A221" t="s">
        <v>147</v>
      </c>
      <c r="B221">
        <v>1237</v>
      </c>
      <c r="C221" s="26">
        <v>45312.742256944446</v>
      </c>
      <c r="D221">
        <v>4.33</v>
      </c>
      <c r="E221" t="s">
        <v>84</v>
      </c>
      <c r="F221" t="str">
        <f>RIGHT(Table_Query_from_SqlServer11[[#This Row],[item_id]],7)</f>
        <v>A26-477</v>
      </c>
    </row>
    <row r="222" spans="1:6" x14ac:dyDescent="0.25">
      <c r="A222" t="s">
        <v>148</v>
      </c>
      <c r="B222">
        <v>1236</v>
      </c>
      <c r="C222" s="26">
        <v>45341.278136574074</v>
      </c>
      <c r="D222">
        <v>4.2699999999999996</v>
      </c>
      <c r="E222" t="s">
        <v>82</v>
      </c>
      <c r="F222" t="str">
        <f>RIGHT(Table_Query_from_SqlServer11[[#This Row],[item_id]],7)</f>
        <v>A26-478</v>
      </c>
    </row>
    <row r="223" spans="1:6" x14ac:dyDescent="0.25">
      <c r="A223" t="s">
        <v>148</v>
      </c>
      <c r="B223">
        <v>1237</v>
      </c>
      <c r="C223" s="26">
        <v>45341.278136574074</v>
      </c>
      <c r="D223">
        <v>4.2699999999999996</v>
      </c>
      <c r="E223" t="s">
        <v>84</v>
      </c>
      <c r="F223" t="str">
        <f>RIGHT(Table_Query_from_SqlServer11[[#This Row],[item_id]],7)</f>
        <v>A26-478</v>
      </c>
    </row>
    <row r="224" spans="1:6" x14ac:dyDescent="0.25">
      <c r="A224" t="s">
        <v>148</v>
      </c>
      <c r="B224">
        <v>906</v>
      </c>
      <c r="C224" s="26">
        <v>45349.547465277778</v>
      </c>
      <c r="D224">
        <v>5.04</v>
      </c>
      <c r="E224" t="s">
        <v>80</v>
      </c>
      <c r="F224" t="str">
        <f>RIGHT(Table_Query_from_SqlServer11[[#This Row],[item_id]],7)</f>
        <v>A26-478</v>
      </c>
    </row>
    <row r="225" spans="1:6" x14ac:dyDescent="0.25">
      <c r="A225" t="s">
        <v>148</v>
      </c>
      <c r="B225">
        <v>905</v>
      </c>
      <c r="C225" s="26">
        <v>45349.547361111108</v>
      </c>
      <c r="D225">
        <v>5.26</v>
      </c>
      <c r="E225" t="s">
        <v>78</v>
      </c>
      <c r="F225" t="str">
        <f>RIGHT(Table_Query_from_SqlServer11[[#This Row],[item_id]],7)</f>
        <v>A26-478</v>
      </c>
    </row>
    <row r="226" spans="1:6" x14ac:dyDescent="0.25">
      <c r="A226" t="s">
        <v>149</v>
      </c>
      <c r="B226">
        <v>905</v>
      </c>
      <c r="C226" s="26">
        <v>45357.492615740739</v>
      </c>
      <c r="D226">
        <v>6.2</v>
      </c>
      <c r="E226" t="s">
        <v>78</v>
      </c>
      <c r="F226" t="str">
        <f>RIGHT(Table_Query_from_SqlServer11[[#This Row],[item_id]],7)</f>
        <v>A26-479</v>
      </c>
    </row>
    <row r="227" spans="1:6" x14ac:dyDescent="0.25">
      <c r="A227" t="s">
        <v>149</v>
      </c>
      <c r="B227">
        <v>906</v>
      </c>
      <c r="C227" s="26">
        <v>45357.492951388886</v>
      </c>
      <c r="D227">
        <v>6.24</v>
      </c>
      <c r="E227" t="s">
        <v>80</v>
      </c>
      <c r="F227" t="str">
        <f>RIGHT(Table_Query_from_SqlServer11[[#This Row],[item_id]],7)</f>
        <v>A26-479</v>
      </c>
    </row>
    <row r="228" spans="1:6" x14ac:dyDescent="0.25">
      <c r="A228" t="s">
        <v>149</v>
      </c>
      <c r="B228">
        <v>1236</v>
      </c>
      <c r="C228" s="26">
        <v>45350.494074074071</v>
      </c>
      <c r="D228">
        <v>5.14</v>
      </c>
      <c r="E228" t="s">
        <v>82</v>
      </c>
      <c r="F228" t="str">
        <f>RIGHT(Table_Query_from_SqlServer11[[#This Row],[item_id]],7)</f>
        <v>A26-479</v>
      </c>
    </row>
    <row r="229" spans="1:6" x14ac:dyDescent="0.25">
      <c r="A229" t="s">
        <v>149</v>
      </c>
      <c r="B229">
        <v>1237</v>
      </c>
      <c r="C229" s="26">
        <v>45350.494247685187</v>
      </c>
      <c r="D229">
        <v>5.21</v>
      </c>
      <c r="E229" t="s">
        <v>84</v>
      </c>
      <c r="F229" t="str">
        <f>RIGHT(Table_Query_from_SqlServer11[[#This Row],[item_id]],7)</f>
        <v>A26-479</v>
      </c>
    </row>
    <row r="230" spans="1:6" x14ac:dyDescent="0.25">
      <c r="A230" t="s">
        <v>150</v>
      </c>
      <c r="B230">
        <v>1236</v>
      </c>
      <c r="C230" s="26">
        <v>45367.625034722223</v>
      </c>
      <c r="D230">
        <v>4.37</v>
      </c>
      <c r="E230" t="s">
        <v>82</v>
      </c>
      <c r="F230" t="str">
        <f>RIGHT(Table_Query_from_SqlServer11[[#This Row],[item_id]],7)</f>
        <v>A26-480</v>
      </c>
    </row>
    <row r="231" spans="1:6" x14ac:dyDescent="0.25">
      <c r="A231" t="s">
        <v>150</v>
      </c>
      <c r="B231">
        <v>1237</v>
      </c>
      <c r="C231" s="26">
        <v>45367.625034722223</v>
      </c>
      <c r="D231">
        <v>4.3899999999999997</v>
      </c>
      <c r="E231" t="s">
        <v>84</v>
      </c>
      <c r="F231" t="str">
        <f>RIGHT(Table_Query_from_SqlServer11[[#This Row],[item_id]],7)</f>
        <v>A26-480</v>
      </c>
    </row>
    <row r="232" spans="1:6" x14ac:dyDescent="0.25">
      <c r="A232" t="s">
        <v>150</v>
      </c>
      <c r="B232">
        <v>906</v>
      </c>
      <c r="C232" s="26">
        <v>45377.404027777775</v>
      </c>
      <c r="D232">
        <v>5.27</v>
      </c>
      <c r="E232" t="s">
        <v>80</v>
      </c>
      <c r="F232" t="str">
        <f>RIGHT(Table_Query_from_SqlServer11[[#This Row],[item_id]],7)</f>
        <v>A26-480</v>
      </c>
    </row>
    <row r="233" spans="1:6" x14ac:dyDescent="0.25">
      <c r="A233" t="s">
        <v>150</v>
      </c>
      <c r="B233">
        <v>905</v>
      </c>
      <c r="C233" s="26">
        <v>45377.403645833336</v>
      </c>
      <c r="D233">
        <v>5.36</v>
      </c>
      <c r="E233" t="s">
        <v>78</v>
      </c>
      <c r="F233" t="str">
        <f>RIGHT(Table_Query_from_SqlServer11[[#This Row],[item_id]],7)</f>
        <v>A26-480</v>
      </c>
    </row>
    <row r="234" spans="1:6" x14ac:dyDescent="0.25">
      <c r="A234" t="s">
        <v>151</v>
      </c>
      <c r="B234">
        <v>905</v>
      </c>
      <c r="C234" s="26">
        <v>45386.489699074074</v>
      </c>
      <c r="D234">
        <v>5.32</v>
      </c>
      <c r="E234" t="s">
        <v>78</v>
      </c>
      <c r="F234" t="str">
        <f>RIGHT(Table_Query_from_SqlServer11[[#This Row],[item_id]],7)</f>
        <v>A26-481</v>
      </c>
    </row>
    <row r="235" spans="1:6" x14ac:dyDescent="0.25">
      <c r="A235" t="s">
        <v>151</v>
      </c>
      <c r="B235">
        <v>1236</v>
      </c>
      <c r="C235" s="26">
        <v>45379.373715277776</v>
      </c>
      <c r="D235">
        <v>4.43</v>
      </c>
      <c r="E235" t="s">
        <v>82</v>
      </c>
      <c r="F235" t="str">
        <f>RIGHT(Table_Query_from_SqlServer11[[#This Row],[item_id]],7)</f>
        <v>A26-481</v>
      </c>
    </row>
    <row r="236" spans="1:6" x14ac:dyDescent="0.25">
      <c r="A236" t="s">
        <v>151</v>
      </c>
      <c r="B236">
        <v>1237</v>
      </c>
      <c r="C236" s="26">
        <v>45379.374201388891</v>
      </c>
      <c r="D236">
        <v>4.4400000000000004</v>
      </c>
      <c r="E236" t="s">
        <v>84</v>
      </c>
      <c r="F236" t="str">
        <f>RIGHT(Table_Query_from_SqlServer11[[#This Row],[item_id]],7)</f>
        <v>A26-481</v>
      </c>
    </row>
    <row r="237" spans="1:6" x14ac:dyDescent="0.25">
      <c r="A237" t="s">
        <v>151</v>
      </c>
      <c r="B237">
        <v>906</v>
      </c>
      <c r="C237" s="26">
        <v>45386.489918981482</v>
      </c>
      <c r="D237">
        <v>5.27</v>
      </c>
      <c r="E237" t="s">
        <v>80</v>
      </c>
      <c r="F237" t="str">
        <f>RIGHT(Table_Query_from_SqlServer11[[#This Row],[item_id]],7)</f>
        <v>A26-481</v>
      </c>
    </row>
    <row r="238" spans="1:6" x14ac:dyDescent="0.25">
      <c r="A238" t="s">
        <v>152</v>
      </c>
      <c r="B238">
        <v>1236</v>
      </c>
      <c r="C238" s="26">
        <v>45400.395104166666</v>
      </c>
      <c r="D238">
        <v>4.4400000000000004</v>
      </c>
      <c r="E238" t="s">
        <v>82</v>
      </c>
      <c r="F238" t="str">
        <f>RIGHT(Table_Query_from_SqlServer11[[#This Row],[item_id]],7)</f>
        <v>A26-482</v>
      </c>
    </row>
    <row r="239" spans="1:6" x14ac:dyDescent="0.25">
      <c r="A239" t="s">
        <v>152</v>
      </c>
      <c r="B239">
        <v>1237</v>
      </c>
      <c r="C239" s="26">
        <v>45400.39539351852</v>
      </c>
      <c r="D239">
        <v>4.5</v>
      </c>
      <c r="E239" t="s">
        <v>84</v>
      </c>
      <c r="F239" t="str">
        <f>RIGHT(Table_Query_from_SqlServer11[[#This Row],[item_id]],7)</f>
        <v>A26-482</v>
      </c>
    </row>
    <row r="240" spans="1:6" x14ac:dyDescent="0.25">
      <c r="A240" t="s">
        <v>152</v>
      </c>
      <c r="B240">
        <v>906</v>
      </c>
      <c r="C240" s="26">
        <v>45407.37572916667</v>
      </c>
      <c r="D240">
        <v>5.35</v>
      </c>
      <c r="E240" t="s">
        <v>80</v>
      </c>
      <c r="F240" t="str">
        <f>RIGHT(Table_Query_from_SqlServer11[[#This Row],[item_id]],7)</f>
        <v>A26-482</v>
      </c>
    </row>
    <row r="241" spans="1:6" x14ac:dyDescent="0.25">
      <c r="A241" t="s">
        <v>152</v>
      </c>
      <c r="B241">
        <v>905</v>
      </c>
      <c r="C241" s="26">
        <v>45407.375150462962</v>
      </c>
      <c r="D241">
        <v>5.41</v>
      </c>
      <c r="E241" t="s">
        <v>78</v>
      </c>
      <c r="F241" t="str">
        <f>RIGHT(Table_Query_from_SqlServer11[[#This Row],[item_id]],7)</f>
        <v>A26-482</v>
      </c>
    </row>
    <row r="242" spans="1:6" x14ac:dyDescent="0.25">
      <c r="A242" t="s">
        <v>153</v>
      </c>
      <c r="B242">
        <v>905</v>
      </c>
      <c r="C242" s="26">
        <v>45414.366608796299</v>
      </c>
      <c r="D242">
        <v>5.5</v>
      </c>
      <c r="E242" t="s">
        <v>78</v>
      </c>
      <c r="F242" t="str">
        <f>RIGHT(Table_Query_from_SqlServer11[[#This Row],[item_id]],7)</f>
        <v>A26-483</v>
      </c>
    </row>
    <row r="243" spans="1:6" x14ac:dyDescent="0.25">
      <c r="A243" t="s">
        <v>153</v>
      </c>
      <c r="B243">
        <v>906</v>
      </c>
      <c r="C243" s="26">
        <v>45414.366886574076</v>
      </c>
      <c r="D243">
        <v>5.48</v>
      </c>
      <c r="E243" t="s">
        <v>80</v>
      </c>
      <c r="F243" t="str">
        <f>RIGHT(Table_Query_from_SqlServer11[[#This Row],[item_id]],7)</f>
        <v>A26-483</v>
      </c>
    </row>
    <row r="244" spans="1:6" x14ac:dyDescent="0.25">
      <c r="A244" t="s">
        <v>153</v>
      </c>
      <c r="B244">
        <v>1236</v>
      </c>
      <c r="C244" s="26">
        <v>45407.37400462963</v>
      </c>
      <c r="D244">
        <v>4.53</v>
      </c>
      <c r="E244" t="s">
        <v>82</v>
      </c>
      <c r="F244" t="str">
        <f>RIGHT(Table_Query_from_SqlServer11[[#This Row],[item_id]],7)</f>
        <v>A26-483</v>
      </c>
    </row>
    <row r="245" spans="1:6" x14ac:dyDescent="0.25">
      <c r="A245" t="s">
        <v>153</v>
      </c>
      <c r="B245">
        <v>1237</v>
      </c>
      <c r="C245" s="26">
        <v>45407.374282407407</v>
      </c>
      <c r="D245">
        <v>4.57</v>
      </c>
      <c r="E245" t="s">
        <v>84</v>
      </c>
      <c r="F245" t="str">
        <f>RIGHT(Table_Query_from_SqlServer11[[#This Row],[item_id]],7)</f>
        <v>A26-483</v>
      </c>
    </row>
    <row r="246" spans="1:6" x14ac:dyDescent="0.25">
      <c r="A246" t="s">
        <v>154</v>
      </c>
      <c r="B246">
        <v>1236</v>
      </c>
      <c r="C246" s="26">
        <v>45506.585902777777</v>
      </c>
      <c r="D246">
        <v>4.79</v>
      </c>
      <c r="E246" t="s">
        <v>82</v>
      </c>
      <c r="F246" t="str">
        <f>RIGHT(Table_Query_from_SqlServer11[[#This Row],[item_id]],7)</f>
        <v>A26-488</v>
      </c>
    </row>
    <row r="247" spans="1:6" x14ac:dyDescent="0.25">
      <c r="A247" t="s">
        <v>154</v>
      </c>
      <c r="B247">
        <v>1237</v>
      </c>
      <c r="C247" s="26">
        <v>45506.585902777777</v>
      </c>
      <c r="D247">
        <v>5.0599999999999996</v>
      </c>
      <c r="E247" t="s">
        <v>84</v>
      </c>
      <c r="F247" t="str">
        <f>RIGHT(Table_Query_from_SqlServer11[[#This Row],[item_id]],7)</f>
        <v>A26-488</v>
      </c>
    </row>
    <row r="248" spans="1:6" x14ac:dyDescent="0.25">
      <c r="A248" t="s">
        <v>154</v>
      </c>
      <c r="B248">
        <v>906</v>
      </c>
      <c r="C248" s="26">
        <v>45520.383715277778</v>
      </c>
      <c r="D248">
        <v>5.39</v>
      </c>
      <c r="E248" t="s">
        <v>80</v>
      </c>
      <c r="F248" t="str">
        <f>RIGHT(Table_Query_from_SqlServer11[[#This Row],[item_id]],7)</f>
        <v>A26-488</v>
      </c>
    </row>
    <row r="249" spans="1:6" x14ac:dyDescent="0.25">
      <c r="A249" t="s">
        <v>154</v>
      </c>
      <c r="B249">
        <v>905</v>
      </c>
      <c r="C249" s="26">
        <v>45520.383333333331</v>
      </c>
      <c r="D249">
        <v>5.4</v>
      </c>
      <c r="E249" t="s">
        <v>78</v>
      </c>
      <c r="F249" t="str">
        <f>RIGHT(Table_Query_from_SqlServer11[[#This Row],[item_id]],7)</f>
        <v>A26-488</v>
      </c>
    </row>
    <row r="250" spans="1:6" x14ac:dyDescent="0.25">
      <c r="A250" t="s">
        <v>155</v>
      </c>
      <c r="B250">
        <v>905</v>
      </c>
      <c r="C250" s="26">
        <v>45530.716145833336</v>
      </c>
      <c r="D250">
        <v>5.12</v>
      </c>
      <c r="E250" t="s">
        <v>78</v>
      </c>
      <c r="F250" t="str">
        <f>RIGHT(Table_Query_from_SqlServer11[[#This Row],[item_id]],7)</f>
        <v>A26-489</v>
      </c>
    </row>
    <row r="251" spans="1:6" x14ac:dyDescent="0.25">
      <c r="A251" t="s">
        <v>155</v>
      </c>
      <c r="B251">
        <v>1236</v>
      </c>
      <c r="C251" s="26">
        <v>45518.414930555555</v>
      </c>
      <c r="D251">
        <v>4.37</v>
      </c>
      <c r="E251" t="s">
        <v>82</v>
      </c>
      <c r="F251" t="str">
        <f>RIGHT(Table_Query_from_SqlServer11[[#This Row],[item_id]],7)</f>
        <v>A26-489</v>
      </c>
    </row>
    <row r="252" spans="1:6" x14ac:dyDescent="0.25">
      <c r="A252" t="s">
        <v>155</v>
      </c>
      <c r="B252">
        <v>1237</v>
      </c>
      <c r="C252" s="26">
        <v>45518.415231481478</v>
      </c>
      <c r="D252">
        <v>4.4000000000000004</v>
      </c>
      <c r="E252" t="s">
        <v>84</v>
      </c>
      <c r="F252" t="str">
        <f>RIGHT(Table_Query_from_SqlServer11[[#This Row],[item_id]],7)</f>
        <v>A26-489</v>
      </c>
    </row>
    <row r="253" spans="1:6" x14ac:dyDescent="0.25">
      <c r="A253" t="s">
        <v>155</v>
      </c>
      <c r="B253">
        <v>906</v>
      </c>
      <c r="C253" s="26">
        <v>45530.716145833336</v>
      </c>
      <c r="D253">
        <v>5.0199999999999996</v>
      </c>
      <c r="E253" t="s">
        <v>80</v>
      </c>
      <c r="F253" t="str">
        <f>RIGHT(Table_Query_from_SqlServer11[[#This Row],[item_id]],7)</f>
        <v>A26-489</v>
      </c>
    </row>
    <row r="254" spans="1:6" x14ac:dyDescent="0.25">
      <c r="A254" t="s">
        <v>156</v>
      </c>
      <c r="B254">
        <v>1236</v>
      </c>
      <c r="C254" s="26">
        <v>45552.569814814815</v>
      </c>
      <c r="D254">
        <v>4.1900000000000004</v>
      </c>
      <c r="E254" t="s">
        <v>82</v>
      </c>
      <c r="F254" t="str">
        <f>RIGHT(Table_Query_from_SqlServer11[[#This Row],[item_id]],7)</f>
        <v>A26-490</v>
      </c>
    </row>
    <row r="255" spans="1:6" x14ac:dyDescent="0.25">
      <c r="A255" t="s">
        <v>156</v>
      </c>
      <c r="B255">
        <v>1237</v>
      </c>
      <c r="C255" s="26">
        <v>45552.569814814815</v>
      </c>
      <c r="D255">
        <v>4.29</v>
      </c>
      <c r="E255" t="s">
        <v>84</v>
      </c>
      <c r="F255" t="str">
        <f>RIGHT(Table_Query_from_SqlServer11[[#This Row],[item_id]],7)</f>
        <v>A26-490</v>
      </c>
    </row>
    <row r="256" spans="1:6" x14ac:dyDescent="0.25">
      <c r="A256" t="s">
        <v>156</v>
      </c>
      <c r="B256">
        <v>906</v>
      </c>
      <c r="C256" s="26">
        <v>45561.41134259259</v>
      </c>
      <c r="D256">
        <v>4.99</v>
      </c>
      <c r="E256" t="s">
        <v>80</v>
      </c>
      <c r="F256" t="str">
        <f>RIGHT(Table_Query_from_SqlServer11[[#This Row],[item_id]],7)</f>
        <v>A26-490</v>
      </c>
    </row>
    <row r="257" spans="1:6" x14ac:dyDescent="0.25">
      <c r="A257" t="s">
        <v>156</v>
      </c>
      <c r="B257">
        <v>905</v>
      </c>
      <c r="C257" s="26">
        <v>45561.411145833335</v>
      </c>
      <c r="D257">
        <v>4.87</v>
      </c>
      <c r="E257" t="s">
        <v>78</v>
      </c>
      <c r="F257" t="str">
        <f>RIGHT(Table_Query_from_SqlServer11[[#This Row],[item_id]],7)</f>
        <v>A26-490</v>
      </c>
    </row>
    <row r="258" spans="1:6" x14ac:dyDescent="0.25">
      <c r="A258" t="s">
        <v>157</v>
      </c>
      <c r="B258">
        <v>905</v>
      </c>
      <c r="C258" s="26">
        <v>45575.686608796299</v>
      </c>
      <c r="D258">
        <v>5.61</v>
      </c>
      <c r="E258" t="s">
        <v>78</v>
      </c>
      <c r="F258" t="str">
        <f>RIGHT(Table_Query_from_SqlServer11[[#This Row],[item_id]],7)</f>
        <v>A26-491</v>
      </c>
    </row>
    <row r="259" spans="1:6" x14ac:dyDescent="0.25">
      <c r="A259" t="s">
        <v>157</v>
      </c>
      <c r="B259">
        <v>906</v>
      </c>
      <c r="C259" s="26">
        <v>45575.686608796299</v>
      </c>
      <c r="D259">
        <v>5.49</v>
      </c>
      <c r="E259" t="s">
        <v>80</v>
      </c>
      <c r="F259" t="str">
        <f>RIGHT(Table_Query_from_SqlServer11[[#This Row],[item_id]],7)</f>
        <v>A26-491</v>
      </c>
    </row>
    <row r="260" spans="1:6" x14ac:dyDescent="0.25">
      <c r="A260" t="s">
        <v>157</v>
      </c>
      <c r="B260">
        <v>1236</v>
      </c>
      <c r="C260" s="26">
        <v>45568.763148148151</v>
      </c>
      <c r="D260">
        <v>4.9000000000000004</v>
      </c>
      <c r="E260" t="s">
        <v>82</v>
      </c>
      <c r="F260" t="str">
        <f>RIGHT(Table_Query_from_SqlServer11[[#This Row],[item_id]],7)</f>
        <v>A26-491</v>
      </c>
    </row>
    <row r="261" spans="1:6" x14ac:dyDescent="0.25">
      <c r="A261" t="s">
        <v>157</v>
      </c>
      <c r="B261">
        <v>1237</v>
      </c>
      <c r="C261" s="26">
        <v>45568.763148148151</v>
      </c>
      <c r="D261">
        <v>4.8899999999999997</v>
      </c>
      <c r="E261" t="s">
        <v>84</v>
      </c>
      <c r="F261" t="str">
        <f>RIGHT(Table_Query_from_SqlServer11[[#This Row],[item_id]],7)</f>
        <v>A26-491</v>
      </c>
    </row>
    <row r="262" spans="1:6" x14ac:dyDescent="0.25">
      <c r="A262" t="s">
        <v>158</v>
      </c>
      <c r="B262">
        <v>1236</v>
      </c>
      <c r="C262" s="26">
        <v>45587.382523148146</v>
      </c>
      <c r="D262">
        <v>0.4</v>
      </c>
      <c r="E262" t="s">
        <v>82</v>
      </c>
      <c r="F262" t="str">
        <f>RIGHT(Table_Query_from_SqlServer11[[#This Row],[item_id]],7)</f>
        <v>A26-492</v>
      </c>
    </row>
    <row r="263" spans="1:6" x14ac:dyDescent="0.25">
      <c r="A263" t="s">
        <v>158</v>
      </c>
      <c r="B263">
        <v>1237</v>
      </c>
      <c r="C263" s="26">
        <v>45587.382523148146</v>
      </c>
      <c r="D263">
        <v>0.41</v>
      </c>
      <c r="E263" t="s">
        <v>84</v>
      </c>
      <c r="F263" t="str">
        <f>RIGHT(Table_Query_from_SqlServer11[[#This Row],[item_id]],7)</f>
        <v>A26-492</v>
      </c>
    </row>
    <row r="264" spans="1:6" x14ac:dyDescent="0.25">
      <c r="A264" t="s">
        <v>158</v>
      </c>
      <c r="B264">
        <v>906</v>
      </c>
      <c r="C264" s="26">
        <v>45593.652384259258</v>
      </c>
      <c r="D264">
        <v>0.57999999999999996</v>
      </c>
      <c r="E264" t="s">
        <v>80</v>
      </c>
      <c r="F264" t="str">
        <f>RIGHT(Table_Query_from_SqlServer11[[#This Row],[item_id]],7)</f>
        <v>A26-492</v>
      </c>
    </row>
    <row r="265" spans="1:6" x14ac:dyDescent="0.25">
      <c r="A265" t="s">
        <v>158</v>
      </c>
      <c r="B265">
        <v>905</v>
      </c>
      <c r="C265" s="26">
        <v>45593.652384259258</v>
      </c>
      <c r="D265">
        <v>0.51</v>
      </c>
      <c r="E265" t="s">
        <v>78</v>
      </c>
      <c r="F265" t="str">
        <f>RIGHT(Table_Query_from_SqlServer11[[#This Row],[item_id]],7)</f>
        <v>A26-492</v>
      </c>
    </row>
    <row r="266" spans="1:6" x14ac:dyDescent="0.25">
      <c r="A266" t="s">
        <v>159</v>
      </c>
      <c r="B266">
        <v>905</v>
      </c>
      <c r="C266" s="26">
        <v>45601.858148148145</v>
      </c>
      <c r="D266">
        <v>5.54</v>
      </c>
      <c r="E266" t="s">
        <v>78</v>
      </c>
      <c r="F266" t="str">
        <f>RIGHT(Table_Query_from_SqlServer11[[#This Row],[item_id]],7)</f>
        <v>A26-493</v>
      </c>
    </row>
    <row r="267" spans="1:6" x14ac:dyDescent="0.25">
      <c r="A267" t="s">
        <v>159</v>
      </c>
      <c r="B267">
        <v>906</v>
      </c>
      <c r="C267" s="26">
        <v>45601.858148148145</v>
      </c>
      <c r="D267">
        <v>5.4</v>
      </c>
      <c r="E267" t="s">
        <v>80</v>
      </c>
      <c r="F267" t="str">
        <f>RIGHT(Table_Query_from_SqlServer11[[#This Row],[item_id]],7)</f>
        <v>A26-493</v>
      </c>
    </row>
    <row r="268" spans="1:6" x14ac:dyDescent="0.25">
      <c r="A268" t="s">
        <v>159</v>
      </c>
      <c r="B268">
        <v>1236</v>
      </c>
      <c r="C268" s="26">
        <v>45592.330717592595</v>
      </c>
      <c r="D268">
        <v>4.8099999999999996</v>
      </c>
      <c r="E268" t="s">
        <v>82</v>
      </c>
      <c r="F268" t="str">
        <f>RIGHT(Table_Query_from_SqlServer11[[#This Row],[item_id]],7)</f>
        <v>A26-493</v>
      </c>
    </row>
    <row r="269" spans="1:6" x14ac:dyDescent="0.25">
      <c r="A269" t="s">
        <v>159</v>
      </c>
      <c r="B269">
        <v>1237</v>
      </c>
      <c r="C269" s="26">
        <v>45592.330717592595</v>
      </c>
      <c r="D269">
        <v>4.84</v>
      </c>
      <c r="E269" t="s">
        <v>84</v>
      </c>
      <c r="F269" t="str">
        <f>RIGHT(Table_Query_from_SqlServer11[[#This Row],[item_id]],7)</f>
        <v>A26-493</v>
      </c>
    </row>
    <row r="270" spans="1:6" x14ac:dyDescent="0.25">
      <c r="A270" t="s">
        <v>160</v>
      </c>
      <c r="B270">
        <v>906</v>
      </c>
      <c r="C270" s="26">
        <v>45621.748726851853</v>
      </c>
      <c r="D270">
        <v>4.76</v>
      </c>
      <c r="E270" t="s">
        <v>80</v>
      </c>
      <c r="F270" t="str">
        <f>RIGHT(Table_Query_from_SqlServer11[[#This Row],[item_id]],7)</f>
        <v>A26-494</v>
      </c>
    </row>
    <row r="271" spans="1:6" x14ac:dyDescent="0.25">
      <c r="A271" t="s">
        <v>160</v>
      </c>
      <c r="B271">
        <v>1236</v>
      </c>
      <c r="C271" s="26">
        <v>45608.746481481481</v>
      </c>
      <c r="D271">
        <v>4.12</v>
      </c>
      <c r="E271" t="s">
        <v>82</v>
      </c>
      <c r="F271" t="str">
        <f>RIGHT(Table_Query_from_SqlServer11[[#This Row],[item_id]],7)</f>
        <v>A26-494</v>
      </c>
    </row>
    <row r="272" spans="1:6" x14ac:dyDescent="0.25">
      <c r="A272" t="s">
        <v>160</v>
      </c>
      <c r="B272">
        <v>1237</v>
      </c>
      <c r="C272" s="26">
        <v>45608.746481481481</v>
      </c>
      <c r="D272">
        <v>4.0999999999999996</v>
      </c>
      <c r="E272" t="s">
        <v>84</v>
      </c>
      <c r="F272" t="str">
        <f>RIGHT(Table_Query_from_SqlServer11[[#This Row],[item_id]],7)</f>
        <v>A26-494</v>
      </c>
    </row>
    <row r="273" spans="1:6" x14ac:dyDescent="0.25">
      <c r="A273" t="s">
        <v>160</v>
      </c>
      <c r="B273">
        <v>905</v>
      </c>
      <c r="C273" s="26">
        <v>45621.748726851853</v>
      </c>
      <c r="D273">
        <v>4.93</v>
      </c>
      <c r="E273" t="s">
        <v>78</v>
      </c>
      <c r="F273" t="str">
        <f>RIGHT(Table_Query_from_SqlServer11[[#This Row],[item_id]],7)</f>
        <v>A26-494</v>
      </c>
    </row>
    <row r="274" spans="1:6" x14ac:dyDescent="0.25">
      <c r="A274" t="s">
        <v>161</v>
      </c>
      <c r="B274">
        <v>905</v>
      </c>
      <c r="C274" s="26">
        <v>45679.451157407406</v>
      </c>
      <c r="D274">
        <v>5.21</v>
      </c>
      <c r="E274" t="s">
        <v>78</v>
      </c>
      <c r="F274" t="str">
        <f>RIGHT(Table_Query_from_SqlServer11[[#This Row],[item_id]],7)</f>
        <v>A26-495</v>
      </c>
    </row>
    <row r="275" spans="1:6" x14ac:dyDescent="0.25">
      <c r="A275" t="s">
        <v>161</v>
      </c>
      <c r="B275">
        <v>906</v>
      </c>
      <c r="C275" s="26">
        <v>45679.451412037037</v>
      </c>
      <c r="D275">
        <v>5.15</v>
      </c>
      <c r="E275" t="s">
        <v>80</v>
      </c>
      <c r="F275" t="str">
        <f>RIGHT(Table_Query_from_SqlServer11[[#This Row],[item_id]],7)</f>
        <v>A26-495</v>
      </c>
    </row>
    <row r="276" spans="1:6" x14ac:dyDescent="0.25">
      <c r="A276" t="s">
        <v>161</v>
      </c>
      <c r="B276">
        <v>1236</v>
      </c>
      <c r="C276" s="26">
        <v>45633.250173611108</v>
      </c>
      <c r="D276">
        <v>4.07</v>
      </c>
      <c r="E276" t="s">
        <v>82</v>
      </c>
      <c r="F276" t="str">
        <f>RIGHT(Table_Query_from_SqlServer11[[#This Row],[item_id]],7)</f>
        <v>A26-495</v>
      </c>
    </row>
    <row r="277" spans="1:6" x14ac:dyDescent="0.25">
      <c r="A277" t="s">
        <v>161</v>
      </c>
      <c r="B277">
        <v>1237</v>
      </c>
      <c r="C277" s="26">
        <v>45633.250451388885</v>
      </c>
      <c r="D277">
        <v>4.0999999999999996</v>
      </c>
      <c r="E277" t="s">
        <v>84</v>
      </c>
      <c r="F277" t="str">
        <f>RIGHT(Table_Query_from_SqlServer11[[#This Row],[item_id]],7)</f>
        <v>A26-495</v>
      </c>
    </row>
    <row r="278" spans="1:6" x14ac:dyDescent="0.25">
      <c r="A278" t="s">
        <v>161</v>
      </c>
      <c r="B278">
        <v>1236</v>
      </c>
      <c r="C278" s="26">
        <v>45633.250173611108</v>
      </c>
      <c r="D278">
        <v>4.07</v>
      </c>
      <c r="E278" t="s">
        <v>82</v>
      </c>
      <c r="F278" t="str">
        <f>RIGHT(Table_Query_from_SqlServer11[[#This Row],[item_id]],7)</f>
        <v>A26-495</v>
      </c>
    </row>
    <row r="279" spans="1:6" x14ac:dyDescent="0.25">
      <c r="A279" t="s">
        <v>161</v>
      </c>
      <c r="B279">
        <v>1237</v>
      </c>
      <c r="C279" s="26">
        <v>45633.250451388885</v>
      </c>
      <c r="D279">
        <v>4.0999999999999996</v>
      </c>
      <c r="E279" t="s">
        <v>84</v>
      </c>
      <c r="F279" t="str">
        <f>RIGHT(Table_Query_from_SqlServer11[[#This Row],[item_id]],7)</f>
        <v>A26-495</v>
      </c>
    </row>
    <row r="280" spans="1:6" x14ac:dyDescent="0.25">
      <c r="A280" t="s">
        <v>162</v>
      </c>
      <c r="B280">
        <v>1236</v>
      </c>
      <c r="C280" s="26">
        <v>45679.456493055557</v>
      </c>
      <c r="D280">
        <v>4.17</v>
      </c>
      <c r="E280" t="s">
        <v>82</v>
      </c>
      <c r="F280" t="str">
        <f>RIGHT(Table_Query_from_SqlServer11[[#This Row],[item_id]],7)</f>
        <v>A26-496</v>
      </c>
    </row>
    <row r="281" spans="1:6" x14ac:dyDescent="0.25">
      <c r="A281" t="s">
        <v>162</v>
      </c>
      <c r="B281">
        <v>1237</v>
      </c>
      <c r="C281" s="26">
        <v>45679.456666666665</v>
      </c>
      <c r="D281">
        <v>4.16</v>
      </c>
      <c r="E281" t="s">
        <v>84</v>
      </c>
      <c r="F281" t="str">
        <f>RIGHT(Table_Query_from_SqlServer11[[#This Row],[item_id]],7)</f>
        <v>A26-496</v>
      </c>
    </row>
    <row r="282" spans="1:6" x14ac:dyDescent="0.25">
      <c r="A282" t="s">
        <v>162</v>
      </c>
      <c r="B282">
        <v>906</v>
      </c>
      <c r="C282" s="26">
        <v>45688.474351851852</v>
      </c>
      <c r="D282">
        <v>4.8499999999999996</v>
      </c>
      <c r="E282" t="s">
        <v>80</v>
      </c>
      <c r="F282" t="str">
        <f>RIGHT(Table_Query_from_SqlServer11[[#This Row],[item_id]],7)</f>
        <v>A26-496</v>
      </c>
    </row>
    <row r="283" spans="1:6" x14ac:dyDescent="0.25">
      <c r="A283" t="s">
        <v>162</v>
      </c>
      <c r="B283">
        <v>905</v>
      </c>
      <c r="C283" s="26">
        <v>45688.474120370367</v>
      </c>
      <c r="D283">
        <v>4.97</v>
      </c>
      <c r="E283" t="s">
        <v>78</v>
      </c>
      <c r="F283" t="str">
        <f>RIGHT(Table_Query_from_SqlServer11[[#This Row],[item_id]],7)</f>
        <v>A26-496</v>
      </c>
    </row>
    <row r="284" spans="1:6" x14ac:dyDescent="0.25">
      <c r="A284" t="s">
        <v>163</v>
      </c>
      <c r="B284">
        <v>905</v>
      </c>
      <c r="C284" s="26">
        <v>45721.300428240742</v>
      </c>
      <c r="D284">
        <v>5.19</v>
      </c>
      <c r="E284" t="s">
        <v>78</v>
      </c>
      <c r="F284" t="str">
        <f>RIGHT(Table_Query_from_SqlServer11[[#This Row],[item_id]],7)</f>
        <v>A26-497</v>
      </c>
    </row>
    <row r="285" spans="1:6" x14ac:dyDescent="0.25">
      <c r="A285" t="s">
        <v>163</v>
      </c>
      <c r="B285">
        <v>906</v>
      </c>
      <c r="C285" s="26">
        <v>45721.300868055558</v>
      </c>
      <c r="D285">
        <v>5.0999999999999996</v>
      </c>
      <c r="E285" t="s">
        <v>80</v>
      </c>
      <c r="F285" t="str">
        <f>RIGHT(Table_Query_from_SqlServer11[[#This Row],[item_id]],7)</f>
        <v>A26-497</v>
      </c>
    </row>
    <row r="286" spans="1:6" x14ac:dyDescent="0.25">
      <c r="A286" t="s">
        <v>163</v>
      </c>
      <c r="B286">
        <v>1236</v>
      </c>
      <c r="C286" s="26">
        <v>45710.565995370373</v>
      </c>
      <c r="D286">
        <v>4.24</v>
      </c>
      <c r="E286" t="s">
        <v>82</v>
      </c>
      <c r="F286" t="str">
        <f>RIGHT(Table_Query_from_SqlServer11[[#This Row],[item_id]],7)</f>
        <v>A26-497</v>
      </c>
    </row>
    <row r="287" spans="1:6" x14ac:dyDescent="0.25">
      <c r="A287" t="s">
        <v>163</v>
      </c>
      <c r="B287">
        <v>1237</v>
      </c>
      <c r="C287" s="26">
        <v>45710.565995370373</v>
      </c>
      <c r="D287">
        <v>4.24</v>
      </c>
      <c r="E287" t="s">
        <v>84</v>
      </c>
      <c r="F287" t="str">
        <f>RIGHT(Table_Query_from_SqlServer11[[#This Row],[item_id]],7)</f>
        <v>A26-497</v>
      </c>
    </row>
    <row r="288" spans="1:6" x14ac:dyDescent="0.25">
      <c r="A288" t="s">
        <v>164</v>
      </c>
      <c r="B288">
        <v>1236</v>
      </c>
      <c r="C288" s="26">
        <v>45718.501064814816</v>
      </c>
      <c r="D288">
        <v>4.22</v>
      </c>
      <c r="E288" t="s">
        <v>82</v>
      </c>
      <c r="F288" t="str">
        <f>RIGHT(Table_Query_from_SqlServer11[[#This Row],[item_id]],7)</f>
        <v>A26-498</v>
      </c>
    </row>
    <row r="289" spans="1:6" x14ac:dyDescent="0.25">
      <c r="A289" t="s">
        <v>164</v>
      </c>
      <c r="B289">
        <v>1237</v>
      </c>
      <c r="C289" s="26">
        <v>45718.501064814816</v>
      </c>
      <c r="D289">
        <v>4.22</v>
      </c>
      <c r="E289" t="s">
        <v>84</v>
      </c>
      <c r="F289" t="str">
        <f>RIGHT(Table_Query_from_SqlServer11[[#This Row],[item_id]],7)</f>
        <v>A26-498</v>
      </c>
    </row>
    <row r="290" spans="1:6" x14ac:dyDescent="0.25">
      <c r="A290" t="s">
        <v>164</v>
      </c>
      <c r="B290">
        <v>906</v>
      </c>
      <c r="C290" s="26">
        <v>45727.787743055553</v>
      </c>
      <c r="D290">
        <v>4.97</v>
      </c>
      <c r="E290" t="s">
        <v>80</v>
      </c>
      <c r="F290" t="str">
        <f>RIGHT(Table_Query_from_SqlServer11[[#This Row],[item_id]],7)</f>
        <v>A26-498</v>
      </c>
    </row>
    <row r="291" spans="1:6" x14ac:dyDescent="0.25">
      <c r="A291" t="s">
        <v>164</v>
      </c>
      <c r="B291">
        <v>905</v>
      </c>
      <c r="C291" s="26">
        <v>45727.787743055553</v>
      </c>
      <c r="D291">
        <v>4.99</v>
      </c>
      <c r="E291" t="s">
        <v>78</v>
      </c>
      <c r="F291" t="str">
        <f>RIGHT(Table_Query_from_SqlServer11[[#This Row],[item_id]],7)</f>
        <v>A26-498</v>
      </c>
    </row>
    <row r="292" spans="1:6" x14ac:dyDescent="0.25">
      <c r="A292" t="s">
        <v>165</v>
      </c>
      <c r="B292">
        <v>905</v>
      </c>
      <c r="C292" s="26">
        <v>45742.297395833331</v>
      </c>
      <c r="D292">
        <v>0.59</v>
      </c>
      <c r="E292" t="s">
        <v>78</v>
      </c>
      <c r="F292" t="str">
        <f>RIGHT(Table_Query_from_SqlServer11[[#This Row],[item_id]],7)</f>
        <v>A26-499</v>
      </c>
    </row>
    <row r="293" spans="1:6" x14ac:dyDescent="0.25">
      <c r="A293" t="s">
        <v>165</v>
      </c>
      <c r="B293">
        <v>906</v>
      </c>
      <c r="C293" s="26">
        <v>45742.297546296293</v>
      </c>
      <c r="D293">
        <v>0.57999999999999996</v>
      </c>
      <c r="E293" t="s">
        <v>80</v>
      </c>
      <c r="F293" t="str">
        <f>RIGHT(Table_Query_from_SqlServer11[[#This Row],[item_id]],7)</f>
        <v>A26-499</v>
      </c>
    </row>
    <row r="294" spans="1:6" x14ac:dyDescent="0.25">
      <c r="A294" t="s">
        <v>165</v>
      </c>
      <c r="B294">
        <v>1236</v>
      </c>
      <c r="C294" s="26">
        <v>45734.384791666664</v>
      </c>
      <c r="D294">
        <v>0.42</v>
      </c>
      <c r="E294" t="s">
        <v>82</v>
      </c>
      <c r="F294" t="str">
        <f>RIGHT(Table_Query_from_SqlServer11[[#This Row],[item_id]],7)</f>
        <v>A26-499</v>
      </c>
    </row>
    <row r="295" spans="1:6" x14ac:dyDescent="0.25">
      <c r="A295" t="s">
        <v>165</v>
      </c>
      <c r="B295">
        <v>1237</v>
      </c>
      <c r="C295" s="26">
        <v>45734.384884259256</v>
      </c>
      <c r="D295">
        <v>0.43</v>
      </c>
      <c r="E295" t="s">
        <v>84</v>
      </c>
      <c r="F295" t="str">
        <f>RIGHT(Table_Query_from_SqlServer11[[#This Row],[item_id]],7)</f>
        <v>A26-499</v>
      </c>
    </row>
    <row r="296" spans="1:6" x14ac:dyDescent="0.25">
      <c r="A296" t="s">
        <v>166</v>
      </c>
      <c r="B296">
        <v>1236</v>
      </c>
      <c r="C296" s="26">
        <v>45756.303912037038</v>
      </c>
      <c r="D296">
        <v>4.21</v>
      </c>
      <c r="E296" t="s">
        <v>82</v>
      </c>
      <c r="F296" t="str">
        <f>RIGHT(Table_Query_from_SqlServer11[[#This Row],[item_id]],7)</f>
        <v>A26-500</v>
      </c>
    </row>
    <row r="297" spans="1:6" x14ac:dyDescent="0.25">
      <c r="A297" t="s">
        <v>166</v>
      </c>
      <c r="B297">
        <v>1237</v>
      </c>
      <c r="C297" s="26">
        <v>45756.304282407407</v>
      </c>
      <c r="D297">
        <v>4.18</v>
      </c>
      <c r="E297" t="s">
        <v>84</v>
      </c>
      <c r="F297" t="str">
        <f>RIGHT(Table_Query_from_SqlServer11[[#This Row],[item_id]],7)</f>
        <v>A26-500</v>
      </c>
    </row>
    <row r="298" spans="1:6" x14ac:dyDescent="0.25">
      <c r="A298" t="s">
        <v>166</v>
      </c>
      <c r="B298">
        <v>906</v>
      </c>
      <c r="C298" s="26">
        <v>45765.38318287037</v>
      </c>
      <c r="D298">
        <v>5.03</v>
      </c>
      <c r="E298" t="s">
        <v>80</v>
      </c>
      <c r="F298" t="str">
        <f>RIGHT(Table_Query_from_SqlServer11[[#This Row],[item_id]],7)</f>
        <v>A26-500</v>
      </c>
    </row>
    <row r="299" spans="1:6" x14ac:dyDescent="0.25">
      <c r="A299" t="s">
        <v>166</v>
      </c>
      <c r="B299">
        <v>905</v>
      </c>
      <c r="C299" s="26">
        <v>45765.382835648146</v>
      </c>
      <c r="D299">
        <v>5.13</v>
      </c>
      <c r="E299" t="s">
        <v>78</v>
      </c>
      <c r="F299" t="str">
        <f>RIGHT(Table_Query_from_SqlServer11[[#This Row],[item_id]],7)</f>
        <v>A26-500</v>
      </c>
    </row>
    <row r="300" spans="1:6" x14ac:dyDescent="0.25">
      <c r="A300" t="s">
        <v>167</v>
      </c>
      <c r="B300">
        <v>905</v>
      </c>
      <c r="C300" s="26">
        <v>45774.320115740738</v>
      </c>
      <c r="D300">
        <v>0.55000000000000004</v>
      </c>
      <c r="E300" t="s">
        <v>78</v>
      </c>
      <c r="F300" t="str">
        <f>RIGHT(Table_Query_from_SqlServer11[[#This Row],[item_id]],7)</f>
        <v>A26-501</v>
      </c>
    </row>
    <row r="301" spans="1:6" x14ac:dyDescent="0.25">
      <c r="A301" t="s">
        <v>167</v>
      </c>
      <c r="B301">
        <v>906</v>
      </c>
      <c r="C301" s="26">
        <v>45774.320127314815</v>
      </c>
      <c r="D301">
        <v>0.55000000000000004</v>
      </c>
      <c r="E301" t="s">
        <v>80</v>
      </c>
      <c r="F301" t="str">
        <f>RIGHT(Table_Query_from_SqlServer11[[#This Row],[item_id]],7)</f>
        <v>A26-501</v>
      </c>
    </row>
    <row r="302" spans="1:6" x14ac:dyDescent="0.25">
      <c r="A302" t="s">
        <v>167</v>
      </c>
      <c r="B302">
        <v>1236</v>
      </c>
      <c r="C302" s="26">
        <v>45761.55363425926</v>
      </c>
      <c r="D302">
        <v>0.4</v>
      </c>
      <c r="E302" t="s">
        <v>82</v>
      </c>
      <c r="F302" t="str">
        <f>RIGHT(Table_Query_from_SqlServer11[[#This Row],[item_id]],7)</f>
        <v>A26-501</v>
      </c>
    </row>
    <row r="303" spans="1:6" x14ac:dyDescent="0.25">
      <c r="A303" t="s">
        <v>167</v>
      </c>
      <c r="B303">
        <v>1237</v>
      </c>
      <c r="C303" s="26">
        <v>45761.553796296299</v>
      </c>
      <c r="D303">
        <v>0.46</v>
      </c>
      <c r="E303" t="s">
        <v>84</v>
      </c>
      <c r="F303" t="str">
        <f>RIGHT(Table_Query_from_SqlServer11[[#This Row],[item_id]],7)</f>
        <v>A26-501</v>
      </c>
    </row>
    <row r="304" spans="1:6" x14ac:dyDescent="0.25">
      <c r="A304" t="s">
        <v>168</v>
      </c>
      <c r="B304">
        <v>1236</v>
      </c>
      <c r="C304" s="26">
        <v>45788.600173611114</v>
      </c>
      <c r="D304">
        <v>4.13</v>
      </c>
      <c r="E304" t="s">
        <v>82</v>
      </c>
      <c r="F304" t="str">
        <f>RIGHT(Table_Query_from_SqlServer11[[#This Row],[item_id]],7)</f>
        <v>A26-502</v>
      </c>
    </row>
    <row r="305" spans="1:6" x14ac:dyDescent="0.25">
      <c r="A305" t="s">
        <v>168</v>
      </c>
      <c r="B305">
        <v>1237</v>
      </c>
      <c r="C305" s="26">
        <v>45788.600173611114</v>
      </c>
      <c r="D305">
        <v>4.1900000000000004</v>
      </c>
      <c r="E305" t="s">
        <v>84</v>
      </c>
      <c r="F305" t="str">
        <f>RIGHT(Table_Query_from_SqlServer11[[#This Row],[item_id]],7)</f>
        <v>A26-502</v>
      </c>
    </row>
    <row r="306" spans="1:6" x14ac:dyDescent="0.25">
      <c r="A306" t="s">
        <v>168</v>
      </c>
      <c r="B306">
        <v>905</v>
      </c>
      <c r="C306" s="26">
        <v>45797.47283564815</v>
      </c>
      <c r="D306">
        <v>4.87</v>
      </c>
      <c r="E306" t="s">
        <v>78</v>
      </c>
      <c r="F306" t="str">
        <f>RIGHT(Table_Query_from_SqlServer11[[#This Row],[item_id]],7)</f>
        <v>A26-502</v>
      </c>
    </row>
    <row r="307" spans="1:6" x14ac:dyDescent="0.25">
      <c r="A307" t="s">
        <v>168</v>
      </c>
      <c r="B307">
        <v>906</v>
      </c>
      <c r="C307" s="26">
        <v>45797.473020833335</v>
      </c>
      <c r="D307">
        <v>4.8</v>
      </c>
      <c r="E307" t="s">
        <v>80</v>
      </c>
      <c r="F307" t="str">
        <f>RIGHT(Table_Query_from_SqlServer11[[#This Row],[item_id]],7)</f>
        <v>A26-502</v>
      </c>
    </row>
    <row r="308" spans="1:6" x14ac:dyDescent="0.25">
      <c r="A308" t="s">
        <v>169</v>
      </c>
      <c r="B308">
        <v>906</v>
      </c>
      <c r="C308" s="26">
        <v>45806.650208333333</v>
      </c>
      <c r="D308">
        <v>4.7300000000000004</v>
      </c>
      <c r="E308" t="s">
        <v>80</v>
      </c>
      <c r="F308" t="str">
        <f>RIGHT(Table_Query_from_SqlServer11[[#This Row],[item_id]],7)</f>
        <v>A26-503</v>
      </c>
    </row>
    <row r="309" spans="1:6" x14ac:dyDescent="0.25">
      <c r="A309" t="s">
        <v>169</v>
      </c>
      <c r="B309">
        <v>905</v>
      </c>
      <c r="C309" s="26">
        <v>45806.64980324074</v>
      </c>
      <c r="D309">
        <v>4.82</v>
      </c>
      <c r="E309" t="s">
        <v>78</v>
      </c>
      <c r="F309" t="str">
        <f>RIGHT(Table_Query_from_SqlServer11[[#This Row],[item_id]],7)</f>
        <v>A26-503</v>
      </c>
    </row>
    <row r="310" spans="1:6" x14ac:dyDescent="0.25">
      <c r="A310" t="s">
        <v>169</v>
      </c>
      <c r="B310">
        <v>1236</v>
      </c>
      <c r="C310" s="26">
        <v>45794.377233796295</v>
      </c>
      <c r="D310">
        <v>4.09</v>
      </c>
      <c r="E310" t="s">
        <v>82</v>
      </c>
      <c r="F310" t="str">
        <f>RIGHT(Table_Query_from_SqlServer11[[#This Row],[item_id]],7)</f>
        <v>A26-503</v>
      </c>
    </row>
    <row r="311" spans="1:6" x14ac:dyDescent="0.25">
      <c r="A311" t="s">
        <v>169</v>
      </c>
      <c r="B311">
        <v>1237</v>
      </c>
      <c r="C311" s="26">
        <v>45794.377615740741</v>
      </c>
      <c r="D311">
        <v>4.07</v>
      </c>
      <c r="E311" t="s">
        <v>84</v>
      </c>
      <c r="F311" t="str">
        <f>RIGHT(Table_Query_from_SqlServer11[[#This Row],[item_id]],7)</f>
        <v>A26-503</v>
      </c>
    </row>
    <row r="312" spans="1:6" x14ac:dyDescent="0.25">
      <c r="A312" t="s">
        <v>170</v>
      </c>
      <c r="B312">
        <v>1237</v>
      </c>
      <c r="C312" s="26">
        <v>45812.66269675926</v>
      </c>
      <c r="D312">
        <v>4.26</v>
      </c>
      <c r="E312" t="s">
        <v>84</v>
      </c>
      <c r="F312" t="str">
        <f>RIGHT(Table_Query_from_SqlServer11[[#This Row],[item_id]],7)</f>
        <v>A26-504</v>
      </c>
    </row>
    <row r="313" spans="1:6" x14ac:dyDescent="0.25">
      <c r="A313" t="s">
        <v>170</v>
      </c>
      <c r="B313">
        <v>1236</v>
      </c>
      <c r="C313" s="26">
        <v>45812.662326388891</v>
      </c>
      <c r="D313">
        <v>4.33</v>
      </c>
      <c r="E313" t="s">
        <v>82</v>
      </c>
      <c r="F313" t="str">
        <f>RIGHT(Table_Query_from_SqlServer11[[#This Row],[item_id]],7)</f>
        <v>A26-504</v>
      </c>
    </row>
    <row r="314" spans="1:6" x14ac:dyDescent="0.25">
      <c r="A314" t="s">
        <v>170</v>
      </c>
      <c r="B314">
        <v>905</v>
      </c>
      <c r="C314" s="26">
        <v>45819.694814814815</v>
      </c>
      <c r="D314">
        <v>5.21</v>
      </c>
      <c r="E314" t="s">
        <v>78</v>
      </c>
      <c r="F314" t="str">
        <f>RIGHT(Table_Query_from_SqlServer11[[#This Row],[item_id]],7)</f>
        <v>A26-504</v>
      </c>
    </row>
    <row r="315" spans="1:6" x14ac:dyDescent="0.25">
      <c r="A315" t="s">
        <v>170</v>
      </c>
      <c r="B315">
        <v>906</v>
      </c>
      <c r="C315" s="26">
        <v>45819.694814814815</v>
      </c>
      <c r="D315">
        <v>5.07</v>
      </c>
      <c r="E315" t="s">
        <v>80</v>
      </c>
      <c r="F315" t="str">
        <f>RIGHT(Table_Query_from_SqlServer11[[#This Row],[item_id]],7)</f>
        <v>A26-504</v>
      </c>
    </row>
    <row r="316" spans="1:6" x14ac:dyDescent="0.25">
      <c r="A316" t="s">
        <v>171</v>
      </c>
      <c r="B316">
        <v>905</v>
      </c>
      <c r="C316" s="26">
        <v>45826.44804398148</v>
      </c>
      <c r="D316">
        <v>2.74</v>
      </c>
      <c r="E316" t="s">
        <v>78</v>
      </c>
      <c r="F316" t="str">
        <f>RIGHT(Table_Query_from_SqlServer11[[#This Row],[item_id]],7)</f>
        <v>A26-505</v>
      </c>
    </row>
    <row r="317" spans="1:6" x14ac:dyDescent="0.25">
      <c r="A317" t="s">
        <v>171</v>
      </c>
      <c r="B317">
        <v>1236</v>
      </c>
      <c r="C317" s="26">
        <v>45818.514039351852</v>
      </c>
      <c r="D317">
        <v>2.1709999999999998</v>
      </c>
      <c r="E317" t="s">
        <v>82</v>
      </c>
      <c r="F317" t="str">
        <f>RIGHT(Table_Query_from_SqlServer11[[#This Row],[item_id]],7)</f>
        <v>A26-505</v>
      </c>
    </row>
    <row r="318" spans="1:6" x14ac:dyDescent="0.25">
      <c r="A318" t="s">
        <v>171</v>
      </c>
      <c r="B318">
        <v>1237</v>
      </c>
      <c r="C318" s="26">
        <v>45818.514039351852</v>
      </c>
      <c r="D318">
        <v>2.1869999999999998</v>
      </c>
      <c r="E318" t="s">
        <v>84</v>
      </c>
      <c r="F318" t="str">
        <f>RIGHT(Table_Query_from_SqlServer11[[#This Row],[item_id]],7)</f>
        <v>A26-505</v>
      </c>
    </row>
    <row r="319" spans="1:6" x14ac:dyDescent="0.25">
      <c r="A319" t="s">
        <v>171</v>
      </c>
      <c r="B319">
        <v>906</v>
      </c>
      <c r="C319" s="26">
        <v>45826.448287037034</v>
      </c>
      <c r="D319">
        <v>2.7</v>
      </c>
      <c r="E319" t="s">
        <v>80</v>
      </c>
      <c r="F319" t="str">
        <f>RIGHT(Table_Query_from_SqlServer11[[#This Row],[item_id]],7)</f>
        <v>A26-505</v>
      </c>
    </row>
    <row r="320" spans="1:6" x14ac:dyDescent="0.25">
      <c r="A320" t="s">
        <v>172</v>
      </c>
      <c r="B320">
        <v>1236</v>
      </c>
      <c r="C320" s="26">
        <v>45839.658807870372</v>
      </c>
      <c r="D320">
        <v>4.91</v>
      </c>
      <c r="E320" t="s">
        <v>82</v>
      </c>
      <c r="F320" t="str">
        <f>RIGHT(Table_Query_from_SqlServer11[[#This Row],[item_id]],7)</f>
        <v>A26-507</v>
      </c>
    </row>
    <row r="321" spans="1:6" x14ac:dyDescent="0.25">
      <c r="A321" t="s">
        <v>172</v>
      </c>
      <c r="B321">
        <v>1237</v>
      </c>
      <c r="C321" s="26">
        <v>45839.658807870372</v>
      </c>
      <c r="D321">
        <v>4.95</v>
      </c>
      <c r="E321" t="s">
        <v>84</v>
      </c>
      <c r="F321" t="str">
        <f>RIGHT(Table_Query_from_SqlServer11[[#This Row],[item_id]],7)</f>
        <v>A26-507</v>
      </c>
    </row>
    <row r="322" spans="1:6" x14ac:dyDescent="0.25">
      <c r="A322" t="s">
        <v>172</v>
      </c>
      <c r="B322">
        <v>905</v>
      </c>
      <c r="C322" s="26">
        <v>45846.51835648148</v>
      </c>
      <c r="D322">
        <v>6.04</v>
      </c>
      <c r="E322" t="s">
        <v>78</v>
      </c>
      <c r="F322" t="str">
        <f>RIGHT(Table_Query_from_SqlServer11[[#This Row],[item_id]],7)</f>
        <v>A26-507</v>
      </c>
    </row>
    <row r="323" spans="1:6" x14ac:dyDescent="0.25">
      <c r="A323" t="s">
        <v>172</v>
      </c>
      <c r="B323">
        <v>906</v>
      </c>
      <c r="C323" s="26">
        <v>45846.51835648148</v>
      </c>
      <c r="D323">
        <v>6.02</v>
      </c>
      <c r="E323" t="s">
        <v>80</v>
      </c>
      <c r="F323" t="str">
        <f>RIGHT(Table_Query_from_SqlServer11[[#This Row],[item_id]],7)</f>
        <v>A26-507</v>
      </c>
    </row>
    <row r="324" spans="1:6" x14ac:dyDescent="0.25">
      <c r="A324" t="s">
        <v>173</v>
      </c>
      <c r="B324">
        <v>905</v>
      </c>
      <c r="C324" s="26">
        <v>45860.517546296294</v>
      </c>
      <c r="D324">
        <v>3.36</v>
      </c>
      <c r="E324" t="s">
        <v>78</v>
      </c>
      <c r="F324" t="str">
        <f>RIGHT(Table_Query_from_SqlServer11[[#This Row],[item_id]],7)</f>
        <v>A26-508</v>
      </c>
    </row>
    <row r="325" spans="1:6" x14ac:dyDescent="0.25">
      <c r="A325" t="s">
        <v>173</v>
      </c>
      <c r="B325">
        <v>906</v>
      </c>
      <c r="C325" s="26">
        <v>45860.517546296294</v>
      </c>
      <c r="D325">
        <v>3.34</v>
      </c>
      <c r="E325" t="s">
        <v>80</v>
      </c>
      <c r="F325" t="str">
        <f>RIGHT(Table_Query_from_SqlServer11[[#This Row],[item_id]],7)</f>
        <v>A26-508</v>
      </c>
    </row>
    <row r="326" spans="1:6" x14ac:dyDescent="0.25">
      <c r="A326" t="s">
        <v>173</v>
      </c>
      <c r="B326">
        <v>1236</v>
      </c>
      <c r="C326" s="26">
        <v>45852.463425925926</v>
      </c>
      <c r="D326">
        <v>2.5499999999999998</v>
      </c>
      <c r="E326" t="s">
        <v>82</v>
      </c>
      <c r="F326" t="str">
        <f>RIGHT(Table_Query_from_SqlServer11[[#This Row],[item_id]],7)</f>
        <v>A26-508</v>
      </c>
    </row>
    <row r="327" spans="1:6" x14ac:dyDescent="0.25">
      <c r="A327" t="s">
        <v>173</v>
      </c>
      <c r="B327">
        <v>1237</v>
      </c>
      <c r="C327" s="26">
        <v>45852.463425925926</v>
      </c>
      <c r="D327">
        <v>2.5499999999999998</v>
      </c>
      <c r="E327" t="s">
        <v>84</v>
      </c>
      <c r="F327" t="str">
        <f>RIGHT(Table_Query_from_SqlServer11[[#This Row],[item_id]],7)</f>
        <v>A26-508</v>
      </c>
    </row>
    <row r="328" spans="1:6" x14ac:dyDescent="0.25">
      <c r="A328" t="s">
        <v>174</v>
      </c>
      <c r="B328">
        <v>1236</v>
      </c>
      <c r="C328" s="26">
        <v>45863.330833333333</v>
      </c>
      <c r="D328">
        <v>3.98</v>
      </c>
      <c r="E328" t="s">
        <v>82</v>
      </c>
      <c r="F328" t="str">
        <f>RIGHT(Table_Query_from_SqlServer11[[#This Row],[item_id]],7)</f>
        <v>A26-509</v>
      </c>
    </row>
    <row r="329" spans="1:6" x14ac:dyDescent="0.25">
      <c r="A329" t="s">
        <v>174</v>
      </c>
      <c r="B329">
        <v>1237</v>
      </c>
      <c r="C329" s="26">
        <v>45863.331203703703</v>
      </c>
      <c r="D329">
        <v>4.0199999999999996</v>
      </c>
      <c r="E329" t="s">
        <v>84</v>
      </c>
      <c r="F329" t="str">
        <f>RIGHT(Table_Query_from_SqlServer11[[#This Row],[item_id]],7)</f>
        <v>A26-509</v>
      </c>
    </row>
    <row r="330" spans="1:6" x14ac:dyDescent="0.25">
      <c r="A330" t="s">
        <v>174</v>
      </c>
      <c r="B330">
        <v>905</v>
      </c>
      <c r="C330" s="26">
        <v>45875.760775462964</v>
      </c>
      <c r="D330">
        <v>5.0199999999999996</v>
      </c>
      <c r="E330" t="s">
        <v>78</v>
      </c>
      <c r="F330" t="str">
        <f>RIGHT(Table_Query_from_SqlServer11[[#This Row],[item_id]],7)</f>
        <v>A26-509</v>
      </c>
    </row>
    <row r="331" spans="1:6" x14ac:dyDescent="0.25">
      <c r="A331" t="s">
        <v>174</v>
      </c>
      <c r="B331">
        <v>906</v>
      </c>
      <c r="C331" s="26">
        <v>45875.760960648149</v>
      </c>
      <c r="D331">
        <v>4.8899999999999997</v>
      </c>
      <c r="E331" t="s">
        <v>80</v>
      </c>
      <c r="F331" t="str">
        <f>RIGHT(Table_Query_from_SqlServer11[[#This Row],[item_id]],7)</f>
        <v>A26-509</v>
      </c>
    </row>
    <row r="332" spans="1:6" x14ac:dyDescent="0.25">
      <c r="A332" t="s">
        <v>175</v>
      </c>
      <c r="B332">
        <v>906</v>
      </c>
      <c r="C332" s="26">
        <v>45889.254594907405</v>
      </c>
      <c r="D332">
        <v>5.12</v>
      </c>
      <c r="E332" t="s">
        <v>80</v>
      </c>
      <c r="F332" t="str">
        <f>RIGHT(Table_Query_from_SqlServer11[[#This Row],[item_id]],7)</f>
        <v>A26-510</v>
      </c>
    </row>
    <row r="333" spans="1:6" x14ac:dyDescent="0.25">
      <c r="A333" t="s">
        <v>175</v>
      </c>
      <c r="B333">
        <v>905</v>
      </c>
      <c r="C333" s="26">
        <v>45889.254340277781</v>
      </c>
      <c r="D333">
        <v>5.16</v>
      </c>
      <c r="E333" t="s">
        <v>78</v>
      </c>
      <c r="F333" t="str">
        <f>RIGHT(Table_Query_from_SqlServer11[[#This Row],[item_id]],7)</f>
        <v>A26-510</v>
      </c>
    </row>
    <row r="334" spans="1:6" x14ac:dyDescent="0.25">
      <c r="A334" t="s">
        <v>175</v>
      </c>
      <c r="B334">
        <v>1236</v>
      </c>
      <c r="C334" s="26">
        <v>45880.321747685186</v>
      </c>
      <c r="D334">
        <v>4.1500000000000004</v>
      </c>
      <c r="E334" t="s">
        <v>82</v>
      </c>
      <c r="F334" t="str">
        <f>RIGHT(Table_Query_from_SqlServer11[[#This Row],[item_id]],7)</f>
        <v>A26-510</v>
      </c>
    </row>
    <row r="335" spans="1:6" x14ac:dyDescent="0.25">
      <c r="A335" t="s">
        <v>175</v>
      </c>
      <c r="B335">
        <v>1237</v>
      </c>
      <c r="C335" s="26">
        <v>45880.322025462963</v>
      </c>
      <c r="D335">
        <v>4.1900000000000004</v>
      </c>
      <c r="E335" t="s">
        <v>84</v>
      </c>
      <c r="F335" t="str">
        <f>RIGHT(Table_Query_from_SqlServer11[[#This Row],[item_id]],7)</f>
        <v>A26-510</v>
      </c>
    </row>
    <row r="336" spans="1:6" x14ac:dyDescent="0.25">
      <c r="A336" t="s">
        <v>176</v>
      </c>
      <c r="B336">
        <v>1236</v>
      </c>
      <c r="C336" s="26">
        <v>45903.475347222222</v>
      </c>
      <c r="D336">
        <v>4.1100000000000003</v>
      </c>
      <c r="E336" t="s">
        <v>82</v>
      </c>
      <c r="F336" t="str">
        <f>RIGHT(Table_Query_from_SqlServer11[[#This Row],[item_id]],7)</f>
        <v>A26-511</v>
      </c>
    </row>
    <row r="337" spans="1:6" x14ac:dyDescent="0.25">
      <c r="A337" t="s">
        <v>176</v>
      </c>
      <c r="B337">
        <v>1237</v>
      </c>
      <c r="C337" s="26">
        <v>45903.475347222222</v>
      </c>
      <c r="D337">
        <v>4.1399999999999997</v>
      </c>
      <c r="E337" t="s">
        <v>84</v>
      </c>
      <c r="F337" t="str">
        <f>RIGHT(Table_Query_from_SqlServer11[[#This Row],[item_id]],7)</f>
        <v>A26-511</v>
      </c>
    </row>
    <row r="338" spans="1:6" x14ac:dyDescent="0.25">
      <c r="A338" t="s">
        <v>176</v>
      </c>
      <c r="B338">
        <v>906</v>
      </c>
      <c r="C338" s="26">
        <v>45909.611817129633</v>
      </c>
      <c r="D338">
        <v>4.92</v>
      </c>
      <c r="E338" t="s">
        <v>80</v>
      </c>
      <c r="F338" t="str">
        <f>RIGHT(Table_Query_from_SqlServer11[[#This Row],[item_id]],7)</f>
        <v>A26-511</v>
      </c>
    </row>
    <row r="339" spans="1:6" x14ac:dyDescent="0.25">
      <c r="A339" t="s">
        <v>176</v>
      </c>
      <c r="B339">
        <v>905</v>
      </c>
      <c r="C339" s="26">
        <v>45909.611608796295</v>
      </c>
      <c r="D339">
        <v>5.0999999999999996</v>
      </c>
      <c r="E339" t="s">
        <v>78</v>
      </c>
      <c r="F339" t="str">
        <f>RIGHT(Table_Query_from_SqlServer11[[#This Row],[item_id]],7)</f>
        <v>A26-511</v>
      </c>
    </row>
    <row r="340" spans="1:6" x14ac:dyDescent="0.25">
      <c r="A340" t="s">
        <v>177</v>
      </c>
      <c r="B340">
        <v>906</v>
      </c>
      <c r="C340" s="26">
        <v>45917.637592592589</v>
      </c>
      <c r="D340">
        <v>5.83</v>
      </c>
      <c r="E340" t="s">
        <v>80</v>
      </c>
      <c r="F340" t="str">
        <f>RIGHT(Table_Query_from_SqlServer11[[#This Row],[item_id]],7)</f>
        <v>A26-512</v>
      </c>
    </row>
    <row r="341" spans="1:6" x14ac:dyDescent="0.25">
      <c r="A341" t="s">
        <v>177</v>
      </c>
      <c r="B341">
        <v>905</v>
      </c>
      <c r="C341" s="26">
        <v>45917.637152777781</v>
      </c>
      <c r="D341">
        <v>6.02</v>
      </c>
      <c r="E341" t="s">
        <v>78</v>
      </c>
      <c r="F341" t="str">
        <f>RIGHT(Table_Query_from_SqlServer11[[#This Row],[item_id]],7)</f>
        <v>A26-512</v>
      </c>
    </row>
    <row r="342" spans="1:6" x14ac:dyDescent="0.25">
      <c r="A342" t="s">
        <v>177</v>
      </c>
      <c r="B342">
        <v>1236</v>
      </c>
      <c r="C342" s="26">
        <v>45909.321863425925</v>
      </c>
      <c r="D342">
        <v>4.95</v>
      </c>
      <c r="E342" t="s">
        <v>82</v>
      </c>
      <c r="F342" t="str">
        <f>RIGHT(Table_Query_from_SqlServer11[[#This Row],[item_id]],7)</f>
        <v>A26-512</v>
      </c>
    </row>
    <row r="343" spans="1:6" x14ac:dyDescent="0.25">
      <c r="A343" t="s">
        <v>177</v>
      </c>
      <c r="B343">
        <v>1237</v>
      </c>
      <c r="C343" s="26">
        <v>45909.322141203702</v>
      </c>
      <c r="D343">
        <v>4.91</v>
      </c>
      <c r="E343" t="s">
        <v>84</v>
      </c>
      <c r="F343" t="str">
        <f>RIGHT(Table_Query_from_SqlServer11[[#This Row],[item_id]],7)</f>
        <v>A26-512</v>
      </c>
    </row>
    <row r="344" spans="1:6" x14ac:dyDescent="0.25">
      <c r="A344" t="s">
        <v>178</v>
      </c>
      <c r="B344">
        <v>1236</v>
      </c>
      <c r="C344" s="26">
        <v>45930.297256944446</v>
      </c>
      <c r="D344">
        <v>4.13</v>
      </c>
      <c r="E344" t="s">
        <v>82</v>
      </c>
      <c r="F344" t="str">
        <f>RIGHT(Table_Query_from_SqlServer11[[#This Row],[item_id]],7)</f>
        <v>A26-513</v>
      </c>
    </row>
    <row r="345" spans="1:6" x14ac:dyDescent="0.25">
      <c r="A345" t="s">
        <v>178</v>
      </c>
      <c r="B345">
        <v>1237</v>
      </c>
      <c r="C345" s="26">
        <v>45930.297476851854</v>
      </c>
      <c r="D345">
        <v>4.17</v>
      </c>
      <c r="E345" t="s">
        <v>84</v>
      </c>
      <c r="F345" t="str">
        <f>RIGHT(Table_Query_from_SqlServer11[[#This Row],[item_id]],7)</f>
        <v>A26-513</v>
      </c>
    </row>
    <row r="346" spans="1:6" x14ac:dyDescent="0.25">
      <c r="A346" t="s">
        <v>178</v>
      </c>
      <c r="B346">
        <v>906</v>
      </c>
      <c r="C346" s="26">
        <v>45943.471967592595</v>
      </c>
      <c r="D346">
        <v>4.92</v>
      </c>
      <c r="E346" t="s">
        <v>80</v>
      </c>
      <c r="F346" t="str">
        <f>RIGHT(Table_Query_from_SqlServer11[[#This Row],[item_id]],7)</f>
        <v>A26-513</v>
      </c>
    </row>
    <row r="347" spans="1:6" x14ac:dyDescent="0.25">
      <c r="A347" t="s">
        <v>178</v>
      </c>
      <c r="B347">
        <v>905</v>
      </c>
      <c r="C347" s="26">
        <v>45943.471585648149</v>
      </c>
      <c r="D347">
        <v>5.03</v>
      </c>
      <c r="E347" t="s">
        <v>78</v>
      </c>
      <c r="F347" t="str">
        <f>RIGHT(Table_Query_from_SqlServer11[[#This Row],[item_id]],7)</f>
        <v>A26-513</v>
      </c>
    </row>
    <row r="348" spans="1:6" x14ac:dyDescent="0.25">
      <c r="A348" t="s">
        <v>179</v>
      </c>
      <c r="B348">
        <v>906</v>
      </c>
      <c r="C348" s="26">
        <v>45966.233865740738</v>
      </c>
      <c r="D348">
        <v>5</v>
      </c>
      <c r="E348" t="s">
        <v>80</v>
      </c>
      <c r="F348" t="str">
        <f>RIGHT(Table_Query_from_SqlServer11[[#This Row],[item_id]],7)</f>
        <v>A26-514</v>
      </c>
    </row>
    <row r="349" spans="1:6" x14ac:dyDescent="0.25">
      <c r="A349" t="s">
        <v>179</v>
      </c>
      <c r="B349">
        <v>905</v>
      </c>
      <c r="C349" s="26">
        <v>45966.233680555553</v>
      </c>
      <c r="D349">
        <v>5.16</v>
      </c>
      <c r="E349" t="s">
        <v>78</v>
      </c>
      <c r="F349" t="str">
        <f>RIGHT(Table_Query_from_SqlServer11[[#This Row],[item_id]],7)</f>
        <v>A26-514</v>
      </c>
    </row>
    <row r="350" spans="1:6" x14ac:dyDescent="0.25">
      <c r="A350" t="s">
        <v>179</v>
      </c>
      <c r="B350">
        <v>1236</v>
      </c>
      <c r="C350" s="26">
        <v>45953.483935185184</v>
      </c>
      <c r="D350">
        <v>4.2300000000000004</v>
      </c>
      <c r="E350" t="s">
        <v>82</v>
      </c>
      <c r="F350" t="str">
        <f>RIGHT(Table_Query_from_SqlServer11[[#This Row],[item_id]],7)</f>
        <v>A26-514</v>
      </c>
    </row>
    <row r="351" spans="1:6" x14ac:dyDescent="0.25">
      <c r="A351" t="s">
        <v>179</v>
      </c>
      <c r="B351">
        <v>1237</v>
      </c>
      <c r="C351" s="26">
        <v>45953.484097222223</v>
      </c>
      <c r="D351">
        <v>4.24</v>
      </c>
      <c r="E351" t="s">
        <v>84</v>
      </c>
      <c r="F351" t="str">
        <f>RIGHT(Table_Query_from_SqlServer11[[#This Row],[item_id]],7)</f>
        <v>A26-514</v>
      </c>
    </row>
    <row r="352" spans="1:6" x14ac:dyDescent="0.25">
      <c r="A352" t="s">
        <v>180</v>
      </c>
      <c r="B352">
        <v>1236</v>
      </c>
      <c r="C352" s="26">
        <v>45950.41034722222</v>
      </c>
      <c r="D352">
        <v>0.41</v>
      </c>
      <c r="E352" t="s">
        <v>82</v>
      </c>
      <c r="F352" t="str">
        <f>RIGHT(Table_Query_from_SqlServer11[[#This Row],[item_id]],7)</f>
        <v>A26-515</v>
      </c>
    </row>
    <row r="353" spans="1:6" x14ac:dyDescent="0.25">
      <c r="A353" t="s">
        <v>180</v>
      </c>
      <c r="B353">
        <v>1237</v>
      </c>
      <c r="C353" s="26">
        <v>45950.41034722222</v>
      </c>
      <c r="D353">
        <v>0.41</v>
      </c>
      <c r="E353" t="s">
        <v>84</v>
      </c>
      <c r="F353" t="str">
        <f>RIGHT(Table_Query_from_SqlServer11[[#This Row],[item_id]],7)</f>
        <v>A26-515</v>
      </c>
    </row>
    <row r="354" spans="1:6" x14ac:dyDescent="0.25">
      <c r="A354" t="s">
        <v>180</v>
      </c>
      <c r="B354">
        <v>906</v>
      </c>
      <c r="C354" s="26">
        <v>45952.338402777779</v>
      </c>
      <c r="D354">
        <v>0.41</v>
      </c>
      <c r="E354" t="s">
        <v>80</v>
      </c>
      <c r="F354" t="str">
        <f>RIGHT(Table_Query_from_SqlServer11[[#This Row],[item_id]],7)</f>
        <v>A26-515</v>
      </c>
    </row>
    <row r="355" spans="1:6" x14ac:dyDescent="0.25">
      <c r="A355" t="s">
        <v>180</v>
      </c>
      <c r="B355">
        <v>905</v>
      </c>
      <c r="C355" s="26">
        <v>45952.338402777779</v>
      </c>
      <c r="D355">
        <v>0.41</v>
      </c>
      <c r="E355" t="s">
        <v>78</v>
      </c>
      <c r="F355" t="str">
        <f>RIGHT(Table_Query_from_SqlServer11[[#This Row],[item_id]],7)</f>
        <v>A26-515</v>
      </c>
    </row>
    <row r="356" spans="1:6" x14ac:dyDescent="0.25">
      <c r="A356" t="s">
        <v>181</v>
      </c>
      <c r="B356">
        <v>905</v>
      </c>
      <c r="C356" s="26">
        <v>45964.358252314814</v>
      </c>
      <c r="D356">
        <v>0.35</v>
      </c>
      <c r="E356" t="s">
        <v>78</v>
      </c>
      <c r="F356" t="str">
        <f>RIGHT(Table_Query_from_SqlServer11[[#This Row],[item_id]],7)</f>
        <v>A26-516</v>
      </c>
    </row>
    <row r="357" spans="1:6" x14ac:dyDescent="0.25">
      <c r="A357" t="s">
        <v>181</v>
      </c>
      <c r="B357">
        <v>906</v>
      </c>
      <c r="C357" s="26">
        <v>45964.358252314814</v>
      </c>
      <c r="D357">
        <v>0.36</v>
      </c>
      <c r="E357" t="s">
        <v>80</v>
      </c>
      <c r="F357" t="str">
        <f>RIGHT(Table_Query_from_SqlServer11[[#This Row],[item_id]],7)</f>
        <v>A26-516</v>
      </c>
    </row>
    <row r="358" spans="1:6" x14ac:dyDescent="0.25">
      <c r="A358" t="s">
        <v>181</v>
      </c>
      <c r="B358">
        <v>1236</v>
      </c>
      <c r="C358" s="26">
        <v>45964.313020833331</v>
      </c>
      <c r="D358">
        <v>0.35</v>
      </c>
      <c r="E358" t="s">
        <v>82</v>
      </c>
      <c r="F358" t="str">
        <f>RIGHT(Table_Query_from_SqlServer11[[#This Row],[item_id]],7)</f>
        <v>A26-516</v>
      </c>
    </row>
    <row r="359" spans="1:6" x14ac:dyDescent="0.25">
      <c r="A359" t="s">
        <v>181</v>
      </c>
      <c r="B359">
        <v>1237</v>
      </c>
      <c r="C359" s="26">
        <v>45964.313148148147</v>
      </c>
      <c r="D359">
        <v>0.36</v>
      </c>
      <c r="E359" t="s">
        <v>84</v>
      </c>
      <c r="F359" t="str">
        <f>RIGHT(Table_Query_from_SqlServer11[[#This Row],[item_id]],7)</f>
        <v>A26-516</v>
      </c>
    </row>
    <row r="360" spans="1:6" x14ac:dyDescent="0.25">
      <c r="A360" t="s">
        <v>182</v>
      </c>
      <c r="B360">
        <v>1236</v>
      </c>
      <c r="C360" s="26">
        <v>45985.534953703704</v>
      </c>
      <c r="D360">
        <v>0.46</v>
      </c>
      <c r="E360" t="s">
        <v>82</v>
      </c>
      <c r="F360" t="str">
        <f>RIGHT(Table_Query_from_SqlServer11[[#This Row],[item_id]],7)</f>
        <v>A26-517</v>
      </c>
    </row>
    <row r="361" spans="1:6" x14ac:dyDescent="0.25">
      <c r="A361" t="s">
        <v>182</v>
      </c>
      <c r="B361">
        <v>1237</v>
      </c>
      <c r="C361" s="26">
        <v>45985.535162037035</v>
      </c>
      <c r="D361">
        <v>0.42</v>
      </c>
      <c r="E361" t="s">
        <v>84</v>
      </c>
      <c r="F361" t="str">
        <f>RIGHT(Table_Query_from_SqlServer11[[#This Row],[item_id]],7)</f>
        <v>A26-517</v>
      </c>
    </row>
    <row r="362" spans="1:6" x14ac:dyDescent="0.25">
      <c r="A362" t="s">
        <v>182</v>
      </c>
      <c r="B362">
        <v>906</v>
      </c>
      <c r="C362" s="26">
        <v>45992.658402777779</v>
      </c>
      <c r="D362">
        <v>0.56999999999999995</v>
      </c>
      <c r="E362" t="s">
        <v>80</v>
      </c>
      <c r="F362" t="str">
        <f>RIGHT(Table_Query_from_SqlServer11[[#This Row],[item_id]],7)</f>
        <v>A26-517</v>
      </c>
    </row>
    <row r="363" spans="1:6" x14ac:dyDescent="0.25">
      <c r="A363" t="s">
        <v>182</v>
      </c>
      <c r="B363">
        <v>905</v>
      </c>
      <c r="C363" s="26">
        <v>45992.658217592594</v>
      </c>
      <c r="D363">
        <v>0.78</v>
      </c>
      <c r="E363" t="s">
        <v>78</v>
      </c>
      <c r="F363" t="str">
        <f>RIGHT(Table_Query_from_SqlServer11[[#This Row],[item_id]],7)</f>
        <v>A26-517</v>
      </c>
    </row>
    <row r="364" spans="1:6" x14ac:dyDescent="0.25">
      <c r="A364" t="s">
        <v>183</v>
      </c>
      <c r="B364">
        <v>906</v>
      </c>
      <c r="C364" s="26">
        <v>45999.26966435185</v>
      </c>
      <c r="D364">
        <v>0.68</v>
      </c>
      <c r="E364" t="s">
        <v>80</v>
      </c>
      <c r="F364" t="str">
        <f>RIGHT(Table_Query_from_SqlServer11[[#This Row],[item_id]],7)</f>
        <v>A26-518</v>
      </c>
    </row>
    <row r="365" spans="1:6" x14ac:dyDescent="0.25">
      <c r="A365" t="s">
        <v>183</v>
      </c>
      <c r="B365">
        <v>905</v>
      </c>
      <c r="C365" s="26">
        <v>45999.269583333335</v>
      </c>
      <c r="D365">
        <v>0.56999999999999995</v>
      </c>
      <c r="E365" t="s">
        <v>78</v>
      </c>
      <c r="F365" t="str">
        <f>RIGHT(Table_Query_from_SqlServer11[[#This Row],[item_id]],7)</f>
        <v>A26-518</v>
      </c>
    </row>
    <row r="366" spans="1:6" x14ac:dyDescent="0.25">
      <c r="A366" t="s">
        <v>183</v>
      </c>
      <c r="B366">
        <v>1236</v>
      </c>
      <c r="C366" s="26">
        <v>45992.661608796298</v>
      </c>
      <c r="D366">
        <v>0.48</v>
      </c>
      <c r="E366" t="s">
        <v>82</v>
      </c>
      <c r="F366" t="str">
        <f>RIGHT(Table_Query_from_SqlServer11[[#This Row],[item_id]],7)</f>
        <v>A26-518</v>
      </c>
    </row>
    <row r="367" spans="1:6" x14ac:dyDescent="0.25">
      <c r="A367" t="s">
        <v>183</v>
      </c>
      <c r="B367">
        <v>1237</v>
      </c>
      <c r="C367" s="26">
        <v>45992.661759259259</v>
      </c>
      <c r="D367">
        <v>0.45</v>
      </c>
      <c r="E367" t="s">
        <v>84</v>
      </c>
      <c r="F367" t="str">
        <f>RIGHT(Table_Query_from_SqlServer11[[#This Row],[item_id]],7)</f>
        <v>A26-518</v>
      </c>
    </row>
    <row r="368" spans="1:6" x14ac:dyDescent="0.25">
      <c r="A368" t="s">
        <v>184</v>
      </c>
      <c r="B368">
        <v>1236</v>
      </c>
      <c r="C368" s="26">
        <v>46029.449131944442</v>
      </c>
      <c r="D368">
        <v>4.1900000000000004</v>
      </c>
      <c r="E368" t="s">
        <v>82</v>
      </c>
      <c r="F368" t="str">
        <f>RIGHT(Table_Query_from_SqlServer11[[#This Row],[item_id]],7)</f>
        <v>A26-519</v>
      </c>
    </row>
    <row r="369" spans="1:6" x14ac:dyDescent="0.25">
      <c r="A369" t="s">
        <v>184</v>
      </c>
      <c r="B369">
        <v>1237</v>
      </c>
      <c r="C369" s="26">
        <v>46029.449131944442</v>
      </c>
      <c r="D369">
        <v>4.21</v>
      </c>
      <c r="E369" t="s">
        <v>84</v>
      </c>
      <c r="F369" t="str">
        <f>RIGHT(Table_Query_from_SqlServer11[[#This Row],[item_id]],7)</f>
        <v>A26-519</v>
      </c>
    </row>
    <row r="370" spans="1:6" x14ac:dyDescent="0.25">
      <c r="A370" t="s">
        <v>184</v>
      </c>
      <c r="B370">
        <v>906</v>
      </c>
      <c r="C370" s="26">
        <v>46041.272453703707</v>
      </c>
      <c r="D370">
        <v>4.95</v>
      </c>
      <c r="E370" t="s">
        <v>80</v>
      </c>
      <c r="F370" t="str">
        <f>RIGHT(Table_Query_from_SqlServer11[[#This Row],[item_id]],7)</f>
        <v>A26-519</v>
      </c>
    </row>
    <row r="371" spans="1:6" x14ac:dyDescent="0.25">
      <c r="A371" t="s">
        <v>184</v>
      </c>
      <c r="B371">
        <v>905</v>
      </c>
      <c r="C371" s="26">
        <v>46041.272314814814</v>
      </c>
      <c r="D371">
        <v>4.96</v>
      </c>
      <c r="E371" t="s">
        <v>78</v>
      </c>
      <c r="F371" t="str">
        <f>RIGHT(Table_Query_from_SqlServer11[[#This Row],[item_id]],7)</f>
        <v>A26-519</v>
      </c>
    </row>
    <row r="372" spans="1:6" x14ac:dyDescent="0.25">
      <c r="A372" t="s">
        <v>185</v>
      </c>
      <c r="B372">
        <v>905</v>
      </c>
      <c r="C372" s="26">
        <v>46041.271099537036</v>
      </c>
      <c r="D372">
        <v>4.95</v>
      </c>
      <c r="E372" t="s">
        <v>78</v>
      </c>
      <c r="F372" t="str">
        <f>RIGHT(Table_Query_from_SqlServer11[[#This Row],[item_id]],7)</f>
        <v>A26-520</v>
      </c>
    </row>
    <row r="373" spans="1:6" x14ac:dyDescent="0.25">
      <c r="A373" t="s">
        <v>185</v>
      </c>
      <c r="B373">
        <v>906</v>
      </c>
      <c r="C373" s="26">
        <v>46041.271226851852</v>
      </c>
      <c r="D373">
        <v>4.79</v>
      </c>
      <c r="E373" t="s">
        <v>80</v>
      </c>
      <c r="F373" t="str">
        <f>RIGHT(Table_Query_from_SqlServer11[[#This Row],[item_id]],7)</f>
        <v>A26-520</v>
      </c>
    </row>
    <row r="374" spans="1:6" x14ac:dyDescent="0.25">
      <c r="A374" t="s">
        <v>185</v>
      </c>
      <c r="B374">
        <v>1236</v>
      </c>
      <c r="C374" s="26">
        <v>46031.525578703702</v>
      </c>
      <c r="D374">
        <v>4.0199999999999996</v>
      </c>
      <c r="E374" t="s">
        <v>82</v>
      </c>
      <c r="F374" t="str">
        <f>RIGHT(Table_Query_from_SqlServer11[[#This Row],[item_id]],7)</f>
        <v>A26-520</v>
      </c>
    </row>
    <row r="375" spans="1:6" x14ac:dyDescent="0.25">
      <c r="A375" t="s">
        <v>185</v>
      </c>
      <c r="B375">
        <v>1237</v>
      </c>
      <c r="C375" s="26">
        <v>46031.525740740741</v>
      </c>
      <c r="D375">
        <v>4.0199999999999996</v>
      </c>
      <c r="E375" t="s">
        <v>84</v>
      </c>
      <c r="F375" t="str">
        <f>RIGHT(Table_Query_from_SqlServer11[[#This Row],[item_id]],7)</f>
        <v>A26-520</v>
      </c>
    </row>
    <row r="376" spans="1:6" x14ac:dyDescent="0.25">
      <c r="A376" t="s">
        <v>186</v>
      </c>
      <c r="B376">
        <v>1236</v>
      </c>
      <c r="C376" s="26">
        <v>46035.583379629628</v>
      </c>
      <c r="D376">
        <v>4.09</v>
      </c>
      <c r="E376" t="s">
        <v>82</v>
      </c>
      <c r="F376" t="str">
        <f>RIGHT(Table_Query_from_SqlServer11[[#This Row],[item_id]],7)</f>
        <v>A26-521</v>
      </c>
    </row>
    <row r="377" spans="1:6" x14ac:dyDescent="0.25">
      <c r="A377" t="s">
        <v>186</v>
      </c>
      <c r="B377">
        <v>1237</v>
      </c>
      <c r="C377" s="26">
        <v>46035.583379629628</v>
      </c>
      <c r="D377">
        <v>4.17</v>
      </c>
      <c r="E377" t="s">
        <v>84</v>
      </c>
      <c r="F377" t="str">
        <f>RIGHT(Table_Query_from_SqlServer11[[#This Row],[item_id]],7)</f>
        <v>A26-521</v>
      </c>
    </row>
    <row r="378" spans="1:6" x14ac:dyDescent="0.25">
      <c r="A378" t="s">
        <v>186</v>
      </c>
      <c r="B378">
        <v>906</v>
      </c>
      <c r="C378" s="26">
        <v>46045.450925925928</v>
      </c>
      <c r="D378">
        <v>5.0199999999999996</v>
      </c>
      <c r="E378" t="s">
        <v>80</v>
      </c>
      <c r="F378" t="str">
        <f>RIGHT(Table_Query_from_SqlServer11[[#This Row],[item_id]],7)</f>
        <v>A26-521</v>
      </c>
    </row>
    <row r="379" spans="1:6" x14ac:dyDescent="0.25">
      <c r="A379" t="s">
        <v>186</v>
      </c>
      <c r="B379">
        <v>905</v>
      </c>
      <c r="C379" s="26">
        <v>46045.450659722221</v>
      </c>
      <c r="D379">
        <v>5.07</v>
      </c>
      <c r="E379" t="s">
        <v>78</v>
      </c>
      <c r="F379" t="str">
        <f>RIGHT(Table_Query_from_SqlServer11[[#This Row],[item_id]],7)</f>
        <v>A26-521</v>
      </c>
    </row>
    <row r="380" spans="1:6" x14ac:dyDescent="0.25">
      <c r="A380" t="s">
        <v>187</v>
      </c>
      <c r="B380">
        <v>905</v>
      </c>
      <c r="C380" s="26">
        <v>46058.593101851853</v>
      </c>
      <c r="D380">
        <v>4.8499999999999996</v>
      </c>
      <c r="E380" t="s">
        <v>78</v>
      </c>
      <c r="F380" t="str">
        <f>RIGHT(Table_Query_from_SqlServer11[[#This Row],[item_id]],7)</f>
        <v>A26-522</v>
      </c>
    </row>
    <row r="381" spans="1:6" x14ac:dyDescent="0.25">
      <c r="A381" t="s">
        <v>187</v>
      </c>
      <c r="B381">
        <v>906</v>
      </c>
      <c r="C381" s="26">
        <v>46058.593217592592</v>
      </c>
      <c r="D381">
        <v>4.74</v>
      </c>
      <c r="E381" t="s">
        <v>80</v>
      </c>
      <c r="F381" t="str">
        <f>RIGHT(Table_Query_from_SqlServer11[[#This Row],[item_id]],7)</f>
        <v>A26-522</v>
      </c>
    </row>
    <row r="382" spans="1:6" x14ac:dyDescent="0.25">
      <c r="A382" t="s">
        <v>187</v>
      </c>
      <c r="B382">
        <v>1236</v>
      </c>
      <c r="C382" s="26">
        <v>46051.559317129628</v>
      </c>
      <c r="D382">
        <v>3.85</v>
      </c>
      <c r="E382" t="s">
        <v>82</v>
      </c>
      <c r="F382" t="str">
        <f>RIGHT(Table_Query_from_SqlServer11[[#This Row],[item_id]],7)</f>
        <v>A26-522</v>
      </c>
    </row>
    <row r="383" spans="1:6" x14ac:dyDescent="0.25">
      <c r="A383" t="s">
        <v>187</v>
      </c>
      <c r="B383">
        <v>1237</v>
      </c>
      <c r="C383" s="26">
        <v>46051.559421296297</v>
      </c>
      <c r="D383">
        <v>3.95</v>
      </c>
      <c r="E383" t="s">
        <v>84</v>
      </c>
      <c r="F383" t="str">
        <f>RIGHT(Table_Query_from_SqlServer11[[#This Row],[item_id]],7)</f>
        <v>A26-522</v>
      </c>
    </row>
    <row r="384" spans="1:6" x14ac:dyDescent="0.25">
      <c r="A384" t="s">
        <v>188</v>
      </c>
      <c r="B384">
        <v>1236</v>
      </c>
      <c r="C384" s="26">
        <v>46069.35633101852</v>
      </c>
      <c r="D384">
        <v>2.75</v>
      </c>
      <c r="E384" t="s">
        <v>82</v>
      </c>
      <c r="F384" t="str">
        <f>RIGHT(Table_Query_from_SqlServer11[[#This Row],[item_id]],7)</f>
        <v>A26-523</v>
      </c>
    </row>
    <row r="385" spans="1:6" x14ac:dyDescent="0.25">
      <c r="A385" t="s">
        <v>188</v>
      </c>
      <c r="B385">
        <v>1237</v>
      </c>
      <c r="C385" s="26">
        <v>46069.356423611112</v>
      </c>
      <c r="D385">
        <v>2.82</v>
      </c>
      <c r="E385" t="s">
        <v>84</v>
      </c>
      <c r="F385" t="str">
        <f>RIGHT(Table_Query_from_SqlServer11[[#This Row],[item_id]],7)</f>
        <v>A26-523</v>
      </c>
    </row>
    <row r="386" spans="1:6" x14ac:dyDescent="0.25">
      <c r="A386" t="s">
        <v>188</v>
      </c>
      <c r="B386">
        <v>906</v>
      </c>
      <c r="C386" s="26">
        <v>46078.484305555554</v>
      </c>
      <c r="D386">
        <v>3.57</v>
      </c>
      <c r="E386" t="s">
        <v>80</v>
      </c>
      <c r="F386" t="str">
        <f>RIGHT(Table_Query_from_SqlServer11[[#This Row],[item_id]],7)</f>
        <v>A26-523</v>
      </c>
    </row>
    <row r="387" spans="1:6" x14ac:dyDescent="0.25">
      <c r="A387" t="s">
        <v>188</v>
      </c>
      <c r="B387">
        <v>905</v>
      </c>
      <c r="C387" s="26">
        <v>46078.48400462963</v>
      </c>
      <c r="D387">
        <v>3.6</v>
      </c>
      <c r="E387" t="s">
        <v>78</v>
      </c>
      <c r="F387" t="str">
        <f>RIGHT(Table_Query_from_SqlServer11[[#This Row],[item_id]],7)</f>
        <v>A26-523</v>
      </c>
    </row>
    <row r="388" spans="1:6" x14ac:dyDescent="0.25">
      <c r="A388" t="s">
        <v>189</v>
      </c>
      <c r="B388">
        <v>905</v>
      </c>
      <c r="C388" s="26">
        <v>46075.705659722225</v>
      </c>
      <c r="D388">
        <v>1.96</v>
      </c>
      <c r="E388" t="s">
        <v>78</v>
      </c>
      <c r="F388" t="str">
        <f>RIGHT(Table_Query_from_SqlServer11[[#This Row],[item_id]],7)</f>
        <v>A26-524</v>
      </c>
    </row>
    <row r="389" spans="1:6" x14ac:dyDescent="0.25">
      <c r="A389" t="s">
        <v>189</v>
      </c>
      <c r="B389">
        <v>906</v>
      </c>
      <c r="C389" s="26">
        <v>46075.705671296295</v>
      </c>
      <c r="D389">
        <v>1.98</v>
      </c>
      <c r="E389" t="s">
        <v>80</v>
      </c>
      <c r="F389" t="str">
        <f>RIGHT(Table_Query_from_SqlServer11[[#This Row],[item_id]],7)</f>
        <v>A26-524</v>
      </c>
    </row>
    <row r="390" spans="1:6" x14ac:dyDescent="0.25">
      <c r="A390" t="s">
        <v>189</v>
      </c>
      <c r="B390">
        <v>1236</v>
      </c>
      <c r="C390" s="26">
        <v>46075.700821759259</v>
      </c>
      <c r="D390">
        <v>1.96</v>
      </c>
      <c r="E390" t="s">
        <v>82</v>
      </c>
      <c r="F390" t="str">
        <f>RIGHT(Table_Query_from_SqlServer11[[#This Row],[item_id]],7)</f>
        <v>A26-524</v>
      </c>
    </row>
    <row r="391" spans="1:6" x14ac:dyDescent="0.25">
      <c r="A391" t="s">
        <v>189</v>
      </c>
      <c r="B391">
        <v>1237</v>
      </c>
      <c r="C391" s="26">
        <v>46075.700821759259</v>
      </c>
      <c r="D391">
        <v>1.88</v>
      </c>
      <c r="E391" t="s">
        <v>84</v>
      </c>
      <c r="F391" t="str">
        <f>RIGHT(Table_Query_from_SqlServer11[[#This Row],[item_id]],7)</f>
        <v>A26-524</v>
      </c>
    </row>
    <row r="392" spans="1:6" x14ac:dyDescent="0.25">
      <c r="A392" t="s">
        <v>190</v>
      </c>
      <c r="B392">
        <v>1236</v>
      </c>
      <c r="C392" s="26">
        <v>46089.638761574075</v>
      </c>
      <c r="D392">
        <v>5.84</v>
      </c>
      <c r="E392" t="s">
        <v>82</v>
      </c>
      <c r="F392" t="str">
        <f>RIGHT(Table_Query_from_SqlServer11[[#This Row],[item_id]],7)</f>
        <v>A26-525</v>
      </c>
    </row>
    <row r="393" spans="1:6" x14ac:dyDescent="0.25">
      <c r="A393" t="s">
        <v>190</v>
      </c>
      <c r="B393">
        <v>1237</v>
      </c>
      <c r="C393" s="26">
        <v>46089.638761574075</v>
      </c>
      <c r="D393">
        <v>5.67</v>
      </c>
      <c r="E393" t="s">
        <v>84</v>
      </c>
      <c r="F393" t="str">
        <f>RIGHT(Table_Query_from_SqlServer11[[#This Row],[item_id]],7)</f>
        <v>A26-525</v>
      </c>
    </row>
    <row r="394" spans="1:6" x14ac:dyDescent="0.25">
      <c r="A394" t="s">
        <v>190</v>
      </c>
      <c r="B394">
        <v>906</v>
      </c>
      <c r="C394" s="26">
        <v>46097.563252314816</v>
      </c>
      <c r="D394">
        <v>4.88</v>
      </c>
      <c r="E394" t="s">
        <v>80</v>
      </c>
      <c r="F394" t="str">
        <f>RIGHT(Table_Query_from_SqlServer11[[#This Row],[item_id]],7)</f>
        <v>A26-525</v>
      </c>
    </row>
    <row r="395" spans="1:6" x14ac:dyDescent="0.25">
      <c r="A395" t="s">
        <v>190</v>
      </c>
      <c r="B395">
        <v>905</v>
      </c>
      <c r="C395" s="26">
        <v>46097.562962962962</v>
      </c>
      <c r="D395">
        <v>5.05</v>
      </c>
      <c r="E395" t="s">
        <v>78</v>
      </c>
      <c r="F395" t="str">
        <f>RIGHT(Table_Query_from_SqlServer11[[#This Row],[item_id]],7)</f>
        <v>A26-525</v>
      </c>
    </row>
    <row r="396" spans="1:6" x14ac:dyDescent="0.25">
      <c r="A396" t="s">
        <v>191</v>
      </c>
      <c r="B396">
        <v>905</v>
      </c>
      <c r="C396" s="26">
        <v>46111.358310185184</v>
      </c>
      <c r="D396">
        <v>6.07</v>
      </c>
      <c r="E396" t="s">
        <v>78</v>
      </c>
      <c r="F396" t="str">
        <f>RIGHT(Table_Query_from_SqlServer11[[#This Row],[item_id]],7)</f>
        <v>A26-526</v>
      </c>
    </row>
    <row r="397" spans="1:6" x14ac:dyDescent="0.25">
      <c r="A397" t="s">
        <v>191</v>
      </c>
      <c r="B397">
        <v>906</v>
      </c>
      <c r="C397" s="26">
        <v>46111.358576388891</v>
      </c>
      <c r="D397">
        <v>6</v>
      </c>
      <c r="E397" t="s">
        <v>80</v>
      </c>
      <c r="F397" t="str">
        <f>RIGHT(Table_Query_from_SqlServer11[[#This Row],[item_id]],7)</f>
        <v>A26-526</v>
      </c>
    </row>
    <row r="398" spans="1:6" x14ac:dyDescent="0.25">
      <c r="A398" t="s">
        <v>191</v>
      </c>
      <c r="B398">
        <v>1236</v>
      </c>
      <c r="C398" s="26">
        <v>46102.63175925926</v>
      </c>
      <c r="D398">
        <v>5.1100000000000003</v>
      </c>
      <c r="E398" t="s">
        <v>82</v>
      </c>
      <c r="F398" t="str">
        <f>RIGHT(Table_Query_from_SqlServer11[[#This Row],[item_id]],7)</f>
        <v>A26-526</v>
      </c>
    </row>
    <row r="399" spans="1:6" x14ac:dyDescent="0.25">
      <c r="A399" t="s">
        <v>191</v>
      </c>
      <c r="B399">
        <v>1237</v>
      </c>
      <c r="C399" s="26">
        <v>46102.63175925926</v>
      </c>
      <c r="D399">
        <v>5.16</v>
      </c>
      <c r="E399" t="s">
        <v>84</v>
      </c>
      <c r="F399" t="str">
        <f>RIGHT(Table_Query_from_SqlServer11[[#This Row],[item_id]],7)</f>
        <v>A26-526</v>
      </c>
    </row>
    <row r="400" spans="1:6" x14ac:dyDescent="0.25">
      <c r="A400" t="s">
        <v>192</v>
      </c>
      <c r="B400">
        <v>1236</v>
      </c>
      <c r="C400" s="26">
        <v>46114.418969907405</v>
      </c>
      <c r="D400">
        <v>0.35</v>
      </c>
      <c r="E400" t="s">
        <v>82</v>
      </c>
      <c r="F400" t="str">
        <f>RIGHT(Table_Query_from_SqlServer11[[#This Row],[item_id]],7)</f>
        <v>A26-527</v>
      </c>
    </row>
    <row r="401" spans="1:6" x14ac:dyDescent="0.25">
      <c r="A401" t="s">
        <v>192</v>
      </c>
      <c r="B401">
        <v>1237</v>
      </c>
      <c r="C401" s="26">
        <v>46114.418969907405</v>
      </c>
      <c r="D401">
        <v>0.36</v>
      </c>
      <c r="E401" t="s">
        <v>84</v>
      </c>
      <c r="F401" t="str">
        <f>RIGHT(Table_Query_from_SqlServer11[[#This Row],[item_id]],7)</f>
        <v>A26-527</v>
      </c>
    </row>
    <row r="402" spans="1:6" x14ac:dyDescent="0.25">
      <c r="A402" t="s">
        <v>192</v>
      </c>
      <c r="B402">
        <v>906</v>
      </c>
      <c r="C402" s="26">
        <v>46120.593159722222</v>
      </c>
      <c r="D402">
        <v>0.46</v>
      </c>
      <c r="E402" t="s">
        <v>80</v>
      </c>
      <c r="F402" t="str">
        <f>RIGHT(Table_Query_from_SqlServer11[[#This Row],[item_id]],7)</f>
        <v>A26-527</v>
      </c>
    </row>
    <row r="403" spans="1:6" x14ac:dyDescent="0.25">
      <c r="A403" t="s">
        <v>192</v>
      </c>
      <c r="B403">
        <v>905</v>
      </c>
      <c r="C403" s="26">
        <v>46120.592766203707</v>
      </c>
      <c r="D403">
        <v>0.64</v>
      </c>
      <c r="E403" t="s">
        <v>78</v>
      </c>
      <c r="F403" t="str">
        <f>RIGHT(Table_Query_from_SqlServer11[[#This Row],[item_id]],7)</f>
        <v>A26-527</v>
      </c>
    </row>
    <row r="404" spans="1:6" x14ac:dyDescent="0.25">
      <c r="A404" t="s">
        <v>193</v>
      </c>
      <c r="B404">
        <v>905</v>
      </c>
      <c r="C404" s="26">
        <v>46140.389016203706</v>
      </c>
      <c r="D404">
        <v>2.96</v>
      </c>
      <c r="E404" t="s">
        <v>78</v>
      </c>
      <c r="F404" t="str">
        <f>RIGHT(Table_Query_from_SqlServer11[[#This Row],[item_id]],7)</f>
        <v>A26-528</v>
      </c>
    </row>
    <row r="405" spans="1:6" x14ac:dyDescent="0.25">
      <c r="A405" t="s">
        <v>193</v>
      </c>
      <c r="B405">
        <v>1236</v>
      </c>
      <c r="C405" s="26">
        <v>46132.356990740744</v>
      </c>
      <c r="D405">
        <v>2.2999999999999998</v>
      </c>
      <c r="E405" t="s">
        <v>82</v>
      </c>
      <c r="F405" t="str">
        <f>RIGHT(Table_Query_from_SqlServer11[[#This Row],[item_id]],7)</f>
        <v>A26-528</v>
      </c>
    </row>
    <row r="406" spans="1:6" x14ac:dyDescent="0.25">
      <c r="A406" t="s">
        <v>193</v>
      </c>
      <c r="B406">
        <v>1237</v>
      </c>
      <c r="C406" s="26">
        <v>46132.357708333337</v>
      </c>
      <c r="D406">
        <v>2.2599999999999998</v>
      </c>
      <c r="E406" t="s">
        <v>84</v>
      </c>
      <c r="F406" t="str">
        <f>RIGHT(Table_Query_from_SqlServer11[[#This Row],[item_id]],7)</f>
        <v>A26-528</v>
      </c>
    </row>
    <row r="407" spans="1:6" x14ac:dyDescent="0.25">
      <c r="A407" t="s">
        <v>193</v>
      </c>
      <c r="B407">
        <v>906</v>
      </c>
      <c r="C407" s="26">
        <v>46140.389270833337</v>
      </c>
      <c r="D407">
        <v>2.77</v>
      </c>
      <c r="E407" t="s">
        <v>80</v>
      </c>
      <c r="F407" t="str">
        <f>RIGHT(Table_Query_from_SqlServer11[[#This Row],[item_id]],7)</f>
        <v>A26-528</v>
      </c>
    </row>
    <row r="408" spans="1:6" x14ac:dyDescent="0.25">
      <c r="A408" t="s">
        <v>194</v>
      </c>
      <c r="B408">
        <v>1236</v>
      </c>
      <c r="C408" s="26">
        <v>45710.565057870372</v>
      </c>
      <c r="D408">
        <v>4.34</v>
      </c>
      <c r="E408" t="s">
        <v>82</v>
      </c>
      <c r="F408" t="str">
        <f>RIGHT(Table_Query_from_SqlServer11[[#This Row],[item_id]],7)</f>
        <v>A26-303</v>
      </c>
    </row>
    <row r="409" spans="1:6" x14ac:dyDescent="0.25">
      <c r="A409" t="s">
        <v>194</v>
      </c>
      <c r="B409">
        <v>1237</v>
      </c>
      <c r="C409" s="26">
        <v>45710.565057870372</v>
      </c>
      <c r="D409">
        <v>4.54</v>
      </c>
      <c r="E409" t="s">
        <v>84</v>
      </c>
      <c r="F409" t="str">
        <f>RIGHT(Table_Query_from_SqlServer11[[#This Row],[item_id]],7)</f>
        <v>A26-303</v>
      </c>
    </row>
    <row r="410" spans="1:6" x14ac:dyDescent="0.25">
      <c r="A410" t="s">
        <v>194</v>
      </c>
      <c r="B410">
        <v>906</v>
      </c>
      <c r="C410" s="26">
        <v>45720.209479166668</v>
      </c>
      <c r="D410">
        <v>5.78</v>
      </c>
      <c r="E410" t="s">
        <v>80</v>
      </c>
      <c r="F410" t="str">
        <f>RIGHT(Table_Query_from_SqlServer11[[#This Row],[item_id]],7)</f>
        <v>A26-303</v>
      </c>
    </row>
    <row r="411" spans="1:6" x14ac:dyDescent="0.25">
      <c r="A411" t="s">
        <v>194</v>
      </c>
      <c r="B411">
        <v>905</v>
      </c>
      <c r="C411" s="26">
        <v>45720.209247685183</v>
      </c>
      <c r="D411">
        <v>5.53</v>
      </c>
      <c r="E411" t="s">
        <v>78</v>
      </c>
      <c r="F411" t="str">
        <f>RIGHT(Table_Query_from_SqlServer11[[#This Row],[item_id]],7)</f>
        <v>A26-303</v>
      </c>
    </row>
    <row r="412" spans="1:6" x14ac:dyDescent="0.25">
      <c r="A412" t="s">
        <v>195</v>
      </c>
      <c r="B412">
        <v>906</v>
      </c>
      <c r="C412" s="26">
        <v>44014.448472222219</v>
      </c>
      <c r="D412">
        <v>0.47</v>
      </c>
      <c r="E412" t="s">
        <v>80</v>
      </c>
      <c r="F412" t="str">
        <f>RIGHT(Table_Query_from_SqlServer11[[#This Row],[item_id]],7)</f>
        <v>A26-397</v>
      </c>
    </row>
    <row r="413" spans="1:6" x14ac:dyDescent="0.25">
      <c r="A413" t="s">
        <v>195</v>
      </c>
      <c r="B413">
        <v>905</v>
      </c>
      <c r="C413" s="26">
        <v>44014.448472222219</v>
      </c>
      <c r="D413">
        <v>0.44</v>
      </c>
      <c r="E413" t="s">
        <v>78</v>
      </c>
      <c r="F413" t="str">
        <f>RIGHT(Table_Query_from_SqlServer11[[#This Row],[item_id]],7)</f>
        <v>A26-397</v>
      </c>
    </row>
    <row r="414" spans="1:6" x14ac:dyDescent="0.25">
      <c r="A414" t="s">
        <v>196</v>
      </c>
      <c r="B414">
        <v>905</v>
      </c>
      <c r="C414" s="26">
        <v>44142.676319444443</v>
      </c>
      <c r="D414">
        <v>5.52</v>
      </c>
      <c r="E414" t="s">
        <v>78</v>
      </c>
      <c r="F414" t="str">
        <f>RIGHT(Table_Query_from_SqlServer11[[#This Row],[item_id]],7)</f>
        <v>A26-406</v>
      </c>
    </row>
    <row r="415" spans="1:6" x14ac:dyDescent="0.25">
      <c r="A415" t="s">
        <v>196</v>
      </c>
      <c r="B415">
        <v>906</v>
      </c>
      <c r="C415" s="26">
        <v>44142.676319444443</v>
      </c>
      <c r="D415">
        <v>5.95</v>
      </c>
      <c r="E415" t="s">
        <v>80</v>
      </c>
      <c r="F415" t="str">
        <f>RIGHT(Table_Query_from_SqlServer11[[#This Row],[item_id]],7)</f>
        <v>A26-406</v>
      </c>
    </row>
    <row r="416" spans="1:6" x14ac:dyDescent="0.25">
      <c r="A416" t="s">
        <v>196</v>
      </c>
      <c r="B416">
        <v>1237</v>
      </c>
      <c r="C416" s="26">
        <v>44134.337372685186</v>
      </c>
      <c r="D416">
        <v>4.88</v>
      </c>
      <c r="E416" t="s">
        <v>84</v>
      </c>
      <c r="F416" t="str">
        <f>RIGHT(Table_Query_from_SqlServer11[[#This Row],[item_id]],7)</f>
        <v>A26-406</v>
      </c>
    </row>
    <row r="417" spans="1:6" x14ac:dyDescent="0.25">
      <c r="A417" t="s">
        <v>196</v>
      </c>
      <c r="B417">
        <v>1236</v>
      </c>
      <c r="C417" s="26">
        <v>44134.339386574073</v>
      </c>
      <c r="D417">
        <v>4.3899999999999997</v>
      </c>
      <c r="E417" t="s">
        <v>82</v>
      </c>
      <c r="F417" t="str">
        <f>RIGHT(Table_Query_from_SqlServer11[[#This Row],[item_id]],7)</f>
        <v>A26-406</v>
      </c>
    </row>
    <row r="418" spans="1:6" x14ac:dyDescent="0.25">
      <c r="A418" t="s">
        <v>197</v>
      </c>
      <c r="B418">
        <v>1236</v>
      </c>
      <c r="C418" s="26">
        <v>44148.328981481478</v>
      </c>
      <c r="D418">
        <v>0.33</v>
      </c>
      <c r="E418" t="s">
        <v>82</v>
      </c>
      <c r="F418" t="str">
        <f>RIGHT(Table_Query_from_SqlServer11[[#This Row],[item_id]],7)</f>
        <v>A26-407</v>
      </c>
    </row>
    <row r="419" spans="1:6" x14ac:dyDescent="0.25">
      <c r="A419" t="s">
        <v>197</v>
      </c>
      <c r="B419">
        <v>1237</v>
      </c>
      <c r="C419" s="26">
        <v>44148.328981481478</v>
      </c>
      <c r="D419">
        <v>0.43</v>
      </c>
      <c r="E419" t="s">
        <v>84</v>
      </c>
      <c r="F419" t="str">
        <f>RIGHT(Table_Query_from_SqlServer11[[#This Row],[item_id]],7)</f>
        <v>A26-407</v>
      </c>
    </row>
    <row r="420" spans="1:6" x14ac:dyDescent="0.25">
      <c r="A420" t="s">
        <v>197</v>
      </c>
      <c r="B420">
        <v>906</v>
      </c>
      <c r="C420" s="26">
        <v>44154.513182870367</v>
      </c>
      <c r="D420">
        <v>0.66</v>
      </c>
      <c r="E420" t="s">
        <v>80</v>
      </c>
      <c r="F420" t="str">
        <f>RIGHT(Table_Query_from_SqlServer11[[#This Row],[item_id]],7)</f>
        <v>A26-407</v>
      </c>
    </row>
    <row r="421" spans="1:6" x14ac:dyDescent="0.25">
      <c r="A421" t="s">
        <v>197</v>
      </c>
      <c r="B421">
        <v>905</v>
      </c>
      <c r="C421" s="26">
        <v>44154.513182870367</v>
      </c>
      <c r="D421">
        <v>0.65</v>
      </c>
      <c r="E421" t="s">
        <v>78</v>
      </c>
      <c r="F421" t="str">
        <f>RIGHT(Table_Query_from_SqlServer11[[#This Row],[item_id]],7)</f>
        <v>A26-407</v>
      </c>
    </row>
    <row r="422" spans="1:6" x14ac:dyDescent="0.25">
      <c r="A422" t="s">
        <v>198</v>
      </c>
      <c r="B422">
        <v>905</v>
      </c>
      <c r="C422" s="26">
        <v>44241.548310185186</v>
      </c>
      <c r="D422">
        <v>4.34</v>
      </c>
      <c r="E422" t="s">
        <v>78</v>
      </c>
      <c r="F422" t="str">
        <f>RIGHT(Table_Query_from_SqlServer11[[#This Row],[item_id]],7)</f>
        <v>A26-409</v>
      </c>
    </row>
    <row r="423" spans="1:6" x14ac:dyDescent="0.25">
      <c r="A423" t="s">
        <v>198</v>
      </c>
      <c r="B423">
        <v>906</v>
      </c>
      <c r="C423" s="26">
        <v>44241.548310185186</v>
      </c>
      <c r="D423">
        <v>4.74</v>
      </c>
      <c r="E423" t="s">
        <v>80</v>
      </c>
      <c r="F423" t="str">
        <f>RIGHT(Table_Query_from_SqlServer11[[#This Row],[item_id]],7)</f>
        <v>A26-409</v>
      </c>
    </row>
    <row r="424" spans="1:6" x14ac:dyDescent="0.25">
      <c r="A424" t="s">
        <v>198</v>
      </c>
      <c r="B424">
        <v>1236</v>
      </c>
      <c r="C424" s="26">
        <v>44225.560613425929</v>
      </c>
      <c r="D424">
        <v>3.06</v>
      </c>
      <c r="E424" t="s">
        <v>82</v>
      </c>
      <c r="F424" t="str">
        <f>RIGHT(Table_Query_from_SqlServer11[[#This Row],[item_id]],7)</f>
        <v>A26-409</v>
      </c>
    </row>
    <row r="425" spans="1:6" x14ac:dyDescent="0.25">
      <c r="A425" t="s">
        <v>198</v>
      </c>
      <c r="B425">
        <v>1237</v>
      </c>
      <c r="C425" s="26">
        <v>44225.560613425929</v>
      </c>
      <c r="D425">
        <v>3.52</v>
      </c>
      <c r="E425" t="s">
        <v>84</v>
      </c>
      <c r="F425" t="str">
        <f>RIGHT(Table_Query_from_SqlServer11[[#This Row],[item_id]],7)</f>
        <v>A26-409</v>
      </c>
    </row>
    <row r="426" spans="1:6" x14ac:dyDescent="0.25">
      <c r="A426" t="s">
        <v>199</v>
      </c>
      <c r="B426">
        <v>1236</v>
      </c>
      <c r="C426" s="26">
        <v>44238.253368055557</v>
      </c>
      <c r="D426">
        <v>3.25</v>
      </c>
      <c r="E426" t="s">
        <v>82</v>
      </c>
      <c r="F426" t="str">
        <f>RIGHT(Table_Query_from_SqlServer11[[#This Row],[item_id]],7)</f>
        <v>A26-410</v>
      </c>
    </row>
    <row r="427" spans="1:6" x14ac:dyDescent="0.25">
      <c r="A427" t="s">
        <v>199</v>
      </c>
      <c r="B427">
        <v>1237</v>
      </c>
      <c r="C427" s="26">
        <v>44238.253368055557</v>
      </c>
      <c r="D427">
        <v>3.8</v>
      </c>
      <c r="E427" t="s">
        <v>84</v>
      </c>
      <c r="F427" t="str">
        <f>RIGHT(Table_Query_from_SqlServer11[[#This Row],[item_id]],7)</f>
        <v>A26-410</v>
      </c>
    </row>
    <row r="428" spans="1:6" x14ac:dyDescent="0.25">
      <c r="A428" t="s">
        <v>199</v>
      </c>
      <c r="B428">
        <v>906</v>
      </c>
      <c r="C428" s="26">
        <v>44253.38013888889</v>
      </c>
      <c r="D428">
        <v>4.9000000000000004</v>
      </c>
      <c r="E428" t="s">
        <v>80</v>
      </c>
      <c r="F428" t="str">
        <f>RIGHT(Table_Query_from_SqlServer11[[#This Row],[item_id]],7)</f>
        <v>A26-410</v>
      </c>
    </row>
    <row r="429" spans="1:6" x14ac:dyDescent="0.25">
      <c r="A429" t="s">
        <v>199</v>
      </c>
      <c r="B429">
        <v>905</v>
      </c>
      <c r="C429" s="26">
        <v>44253.380011574074</v>
      </c>
      <c r="D429">
        <v>4.4800000000000004</v>
      </c>
      <c r="E429" t="s">
        <v>78</v>
      </c>
      <c r="F429" t="str">
        <f>RIGHT(Table_Query_from_SqlServer11[[#This Row],[item_id]],7)</f>
        <v>A26-410</v>
      </c>
    </row>
    <row r="430" spans="1:6" x14ac:dyDescent="0.25">
      <c r="A430" t="s">
        <v>200</v>
      </c>
      <c r="B430">
        <v>905</v>
      </c>
      <c r="C430" s="26">
        <v>44284.381886574076</v>
      </c>
      <c r="D430">
        <v>5.35</v>
      </c>
      <c r="E430" t="s">
        <v>78</v>
      </c>
      <c r="F430" t="str">
        <f>RIGHT(Table_Query_from_SqlServer11[[#This Row],[item_id]],7)</f>
        <v>A26-411</v>
      </c>
    </row>
    <row r="431" spans="1:6" x14ac:dyDescent="0.25">
      <c r="A431" t="s">
        <v>200</v>
      </c>
      <c r="B431">
        <v>906</v>
      </c>
      <c r="C431" s="26">
        <v>44284.381886574076</v>
      </c>
      <c r="D431">
        <v>5.63</v>
      </c>
      <c r="E431" t="s">
        <v>80</v>
      </c>
      <c r="F431" t="str">
        <f>RIGHT(Table_Query_from_SqlServer11[[#This Row],[item_id]],7)</f>
        <v>A26-411</v>
      </c>
    </row>
    <row r="432" spans="1:6" x14ac:dyDescent="0.25">
      <c r="A432" t="s">
        <v>200</v>
      </c>
      <c r="B432">
        <v>1236</v>
      </c>
      <c r="C432" s="26">
        <v>44276.294247685182</v>
      </c>
      <c r="D432">
        <v>4.17</v>
      </c>
      <c r="E432" t="s">
        <v>82</v>
      </c>
      <c r="F432" t="str">
        <f>RIGHT(Table_Query_from_SqlServer11[[#This Row],[item_id]],7)</f>
        <v>A26-411</v>
      </c>
    </row>
    <row r="433" spans="1:6" x14ac:dyDescent="0.25">
      <c r="A433" t="s">
        <v>200</v>
      </c>
      <c r="B433">
        <v>1237</v>
      </c>
      <c r="C433" s="26">
        <v>44276.294247685182</v>
      </c>
      <c r="D433">
        <v>4.78</v>
      </c>
      <c r="E433" t="s">
        <v>84</v>
      </c>
      <c r="F433" t="str">
        <f>RIGHT(Table_Query_from_SqlServer11[[#This Row],[item_id]],7)</f>
        <v>A26-411</v>
      </c>
    </row>
    <row r="434" spans="1:6" x14ac:dyDescent="0.25">
      <c r="A434" t="s">
        <v>201</v>
      </c>
      <c r="B434">
        <v>1236</v>
      </c>
      <c r="C434" s="26">
        <v>44297.321215277778</v>
      </c>
      <c r="D434">
        <v>2.09</v>
      </c>
      <c r="E434" t="s">
        <v>82</v>
      </c>
      <c r="F434" t="str">
        <f>RIGHT(Table_Query_from_SqlServer11[[#This Row],[item_id]],7)</f>
        <v>A26-412</v>
      </c>
    </row>
    <row r="435" spans="1:6" x14ac:dyDescent="0.25">
      <c r="A435" t="s">
        <v>201</v>
      </c>
      <c r="B435">
        <v>1237</v>
      </c>
      <c r="C435" s="26">
        <v>44297.321215277778</v>
      </c>
      <c r="D435">
        <v>2.4700000000000002</v>
      </c>
      <c r="E435" t="s">
        <v>84</v>
      </c>
      <c r="F435" t="str">
        <f>RIGHT(Table_Query_from_SqlServer11[[#This Row],[item_id]],7)</f>
        <v>A26-412</v>
      </c>
    </row>
    <row r="436" spans="1:6" x14ac:dyDescent="0.25">
      <c r="A436" t="s">
        <v>201</v>
      </c>
      <c r="B436">
        <v>906</v>
      </c>
      <c r="C436" s="26">
        <v>44305.262627314813</v>
      </c>
      <c r="D436">
        <v>3.64</v>
      </c>
      <c r="E436" t="s">
        <v>80</v>
      </c>
      <c r="F436" t="str">
        <f>RIGHT(Table_Query_from_SqlServer11[[#This Row],[item_id]],7)</f>
        <v>A26-412</v>
      </c>
    </row>
    <row r="437" spans="1:6" x14ac:dyDescent="0.25">
      <c r="A437" t="s">
        <v>201</v>
      </c>
      <c r="B437">
        <v>905</v>
      </c>
      <c r="C437" s="26">
        <v>44305.262627314813</v>
      </c>
      <c r="D437">
        <v>3.53</v>
      </c>
      <c r="E437" t="s">
        <v>78</v>
      </c>
      <c r="F437" t="str">
        <f>RIGHT(Table_Query_from_SqlServer11[[#This Row],[item_id]],7)</f>
        <v>A26-412</v>
      </c>
    </row>
    <row r="438" spans="1:6" x14ac:dyDescent="0.25">
      <c r="A438" t="s">
        <v>202</v>
      </c>
      <c r="B438">
        <v>905</v>
      </c>
      <c r="C438" s="26">
        <v>44321.378981481481</v>
      </c>
      <c r="D438">
        <v>4.58</v>
      </c>
      <c r="E438" t="s">
        <v>78</v>
      </c>
      <c r="F438" t="str">
        <f>RIGHT(Table_Query_from_SqlServer11[[#This Row],[item_id]],7)</f>
        <v>A26-413</v>
      </c>
    </row>
    <row r="439" spans="1:6" x14ac:dyDescent="0.25">
      <c r="A439" t="s">
        <v>202</v>
      </c>
      <c r="B439">
        <v>906</v>
      </c>
      <c r="C439" s="26">
        <v>44321.378981481481</v>
      </c>
      <c r="D439">
        <v>4.8</v>
      </c>
      <c r="E439" t="s">
        <v>80</v>
      </c>
      <c r="F439" t="str">
        <f>RIGHT(Table_Query_from_SqlServer11[[#This Row],[item_id]],7)</f>
        <v>A26-413</v>
      </c>
    </row>
    <row r="440" spans="1:6" x14ac:dyDescent="0.25">
      <c r="A440" t="s">
        <v>202</v>
      </c>
      <c r="B440">
        <v>1236</v>
      </c>
      <c r="C440" s="26">
        <v>44314.278668981482</v>
      </c>
      <c r="D440">
        <v>3.63</v>
      </c>
      <c r="E440" t="s">
        <v>82</v>
      </c>
      <c r="F440" t="str">
        <f>RIGHT(Table_Query_from_SqlServer11[[#This Row],[item_id]],7)</f>
        <v>A26-413</v>
      </c>
    </row>
    <row r="441" spans="1:6" x14ac:dyDescent="0.25">
      <c r="A441" t="s">
        <v>202</v>
      </c>
      <c r="B441">
        <v>1237</v>
      </c>
      <c r="C441" s="26">
        <v>44314.278668981482</v>
      </c>
      <c r="D441">
        <v>4.37</v>
      </c>
      <c r="E441" t="s">
        <v>84</v>
      </c>
      <c r="F441" t="str">
        <f>RIGHT(Table_Query_from_SqlServer11[[#This Row],[item_id]],7)</f>
        <v>A26-413</v>
      </c>
    </row>
    <row r="442" spans="1:6" x14ac:dyDescent="0.25">
      <c r="A442" t="s">
        <v>203</v>
      </c>
      <c r="B442">
        <v>1236</v>
      </c>
      <c r="C442" s="26">
        <v>44333.356134259258</v>
      </c>
      <c r="D442">
        <v>3.56</v>
      </c>
      <c r="E442" t="s">
        <v>82</v>
      </c>
      <c r="F442" t="str">
        <f>RIGHT(Table_Query_from_SqlServer11[[#This Row],[item_id]],7)</f>
        <v>A26-414</v>
      </c>
    </row>
    <row r="443" spans="1:6" x14ac:dyDescent="0.25">
      <c r="A443" t="s">
        <v>203</v>
      </c>
      <c r="B443">
        <v>1237</v>
      </c>
      <c r="C443" s="26">
        <v>44333.356134259258</v>
      </c>
      <c r="D443">
        <v>3.98</v>
      </c>
      <c r="E443" t="s">
        <v>84</v>
      </c>
      <c r="F443" t="str">
        <f>RIGHT(Table_Query_from_SqlServer11[[#This Row],[item_id]],7)</f>
        <v>A26-414</v>
      </c>
    </row>
    <row r="444" spans="1:6" x14ac:dyDescent="0.25">
      <c r="A444" t="s">
        <v>203</v>
      </c>
      <c r="B444">
        <v>906</v>
      </c>
      <c r="C444" s="26">
        <v>44357.363599537035</v>
      </c>
      <c r="D444">
        <v>5.18</v>
      </c>
      <c r="E444" t="s">
        <v>80</v>
      </c>
      <c r="F444" t="str">
        <f>RIGHT(Table_Query_from_SqlServer11[[#This Row],[item_id]],7)</f>
        <v>A26-414</v>
      </c>
    </row>
    <row r="445" spans="1:6" x14ac:dyDescent="0.25">
      <c r="A445" t="s">
        <v>203</v>
      </c>
      <c r="B445">
        <v>905</v>
      </c>
      <c r="C445" s="26">
        <v>44357.363530092596</v>
      </c>
      <c r="D445">
        <v>5.05</v>
      </c>
      <c r="E445" t="s">
        <v>78</v>
      </c>
      <c r="F445" t="str">
        <f>RIGHT(Table_Query_from_SqlServer11[[#This Row],[item_id]],7)</f>
        <v>A26-414</v>
      </c>
    </row>
    <row r="446" spans="1:6" x14ac:dyDescent="0.25">
      <c r="A446" t="s">
        <v>204</v>
      </c>
      <c r="B446">
        <v>905</v>
      </c>
      <c r="C446" s="26">
        <v>44425.400868055556</v>
      </c>
      <c r="D446">
        <v>5.18</v>
      </c>
      <c r="E446" t="s">
        <v>78</v>
      </c>
      <c r="F446" t="str">
        <f>RIGHT(Table_Query_from_SqlServer11[[#This Row],[item_id]],7)</f>
        <v>A26-418</v>
      </c>
    </row>
    <row r="447" spans="1:6" x14ac:dyDescent="0.25">
      <c r="A447" t="s">
        <v>204</v>
      </c>
      <c r="B447">
        <v>906</v>
      </c>
      <c r="C447" s="26">
        <v>44425.400868055556</v>
      </c>
      <c r="D447">
        <v>5.55</v>
      </c>
      <c r="E447" t="s">
        <v>80</v>
      </c>
      <c r="F447" t="str">
        <f>RIGHT(Table_Query_from_SqlServer11[[#This Row],[item_id]],7)</f>
        <v>A26-418</v>
      </c>
    </row>
    <row r="448" spans="1:6" x14ac:dyDescent="0.25">
      <c r="A448" t="s">
        <v>204</v>
      </c>
      <c r="B448">
        <v>1236</v>
      </c>
      <c r="C448" s="26">
        <v>44418.756932870368</v>
      </c>
      <c r="D448">
        <v>3.46</v>
      </c>
      <c r="E448" t="s">
        <v>82</v>
      </c>
      <c r="F448" t="str">
        <f>RIGHT(Table_Query_from_SqlServer11[[#This Row],[item_id]],7)</f>
        <v>A26-418</v>
      </c>
    </row>
    <row r="449" spans="1:6" x14ac:dyDescent="0.25">
      <c r="A449" t="s">
        <v>204</v>
      </c>
      <c r="B449">
        <v>1237</v>
      </c>
      <c r="C449" s="26">
        <v>44418.756932870368</v>
      </c>
      <c r="D449">
        <v>3.92</v>
      </c>
      <c r="E449" t="s">
        <v>84</v>
      </c>
      <c r="F449" t="str">
        <f>RIGHT(Table_Query_from_SqlServer11[[#This Row],[item_id]],7)</f>
        <v>A26-418</v>
      </c>
    </row>
    <row r="450" spans="1:6" x14ac:dyDescent="0.25">
      <c r="A450" t="s">
        <v>205</v>
      </c>
      <c r="B450">
        <v>1236</v>
      </c>
      <c r="C450" s="26">
        <v>44431.703888888886</v>
      </c>
      <c r="D450">
        <v>3.63</v>
      </c>
      <c r="E450" t="s">
        <v>82</v>
      </c>
      <c r="F450" t="str">
        <f>RIGHT(Table_Query_from_SqlServer11[[#This Row],[item_id]],7)</f>
        <v>A26-419</v>
      </c>
    </row>
    <row r="451" spans="1:6" x14ac:dyDescent="0.25">
      <c r="A451" t="s">
        <v>205</v>
      </c>
      <c r="B451">
        <v>1237</v>
      </c>
      <c r="C451" s="26">
        <v>44431.703888888886</v>
      </c>
      <c r="D451">
        <v>4.28</v>
      </c>
      <c r="E451" t="s">
        <v>84</v>
      </c>
      <c r="F451" t="str">
        <f>RIGHT(Table_Query_from_SqlServer11[[#This Row],[item_id]],7)</f>
        <v>A26-419</v>
      </c>
    </row>
    <row r="452" spans="1:6" x14ac:dyDescent="0.25">
      <c r="A452" t="s">
        <v>205</v>
      </c>
      <c r="B452">
        <v>906</v>
      </c>
      <c r="C452" s="26">
        <v>44439.310636574075</v>
      </c>
      <c r="D452">
        <v>5.7</v>
      </c>
      <c r="E452" t="s">
        <v>80</v>
      </c>
      <c r="F452" t="str">
        <f>RIGHT(Table_Query_from_SqlServer11[[#This Row],[item_id]],7)</f>
        <v>A26-419</v>
      </c>
    </row>
    <row r="453" spans="1:6" x14ac:dyDescent="0.25">
      <c r="A453" t="s">
        <v>205</v>
      </c>
      <c r="B453">
        <v>905</v>
      </c>
      <c r="C453" s="26">
        <v>44439.310520833336</v>
      </c>
      <c r="D453">
        <v>5.0199999999999996</v>
      </c>
      <c r="E453" t="s">
        <v>78</v>
      </c>
      <c r="F453" t="str">
        <f>RIGHT(Table_Query_from_SqlServer11[[#This Row],[item_id]],7)</f>
        <v>A26-419</v>
      </c>
    </row>
    <row r="454" spans="1:6" x14ac:dyDescent="0.25">
      <c r="A454" t="s">
        <v>206</v>
      </c>
      <c r="B454">
        <v>905</v>
      </c>
      <c r="C454" s="26">
        <v>44467.709398148145</v>
      </c>
      <c r="D454">
        <v>4.71</v>
      </c>
      <c r="E454" t="s">
        <v>78</v>
      </c>
      <c r="F454" t="str">
        <f>RIGHT(Table_Query_from_SqlServer11[[#This Row],[item_id]],7)</f>
        <v>A26-420</v>
      </c>
    </row>
    <row r="455" spans="1:6" x14ac:dyDescent="0.25">
      <c r="A455" t="s">
        <v>206</v>
      </c>
      <c r="B455">
        <v>906</v>
      </c>
      <c r="C455" s="26">
        <v>44467.709490740737</v>
      </c>
      <c r="D455">
        <v>4.8499999999999996</v>
      </c>
      <c r="E455" t="s">
        <v>80</v>
      </c>
      <c r="F455" t="str">
        <f>RIGHT(Table_Query_from_SqlServer11[[#This Row],[item_id]],7)</f>
        <v>A26-420</v>
      </c>
    </row>
    <row r="456" spans="1:6" x14ac:dyDescent="0.25">
      <c r="A456" t="s">
        <v>206</v>
      </c>
      <c r="B456">
        <v>1236</v>
      </c>
      <c r="C456" s="26">
        <v>44443.314143518517</v>
      </c>
      <c r="D456">
        <v>3.48</v>
      </c>
      <c r="E456" t="s">
        <v>82</v>
      </c>
      <c r="F456" t="str">
        <f>RIGHT(Table_Query_from_SqlServer11[[#This Row],[item_id]],7)</f>
        <v>A26-420</v>
      </c>
    </row>
    <row r="457" spans="1:6" x14ac:dyDescent="0.25">
      <c r="A457" t="s">
        <v>206</v>
      </c>
      <c r="B457">
        <v>1237</v>
      </c>
      <c r="C457" s="26">
        <v>44443.314247685186</v>
      </c>
      <c r="D457">
        <v>3.86</v>
      </c>
      <c r="E457" t="s">
        <v>84</v>
      </c>
      <c r="F457" t="str">
        <f>RIGHT(Table_Query_from_SqlServer11[[#This Row],[item_id]],7)</f>
        <v>A26-420</v>
      </c>
    </row>
    <row r="458" spans="1:6" x14ac:dyDescent="0.25">
      <c r="A458" t="s">
        <v>207</v>
      </c>
      <c r="B458">
        <v>1236</v>
      </c>
      <c r="C458" s="26">
        <v>44455.338206018518</v>
      </c>
      <c r="D458">
        <v>3.87</v>
      </c>
      <c r="E458" t="s">
        <v>82</v>
      </c>
      <c r="F458" t="str">
        <f>RIGHT(Table_Query_from_SqlServer11[[#This Row],[item_id]],7)</f>
        <v>A26-421</v>
      </c>
    </row>
    <row r="459" spans="1:6" x14ac:dyDescent="0.25">
      <c r="A459" t="s">
        <v>207</v>
      </c>
      <c r="B459">
        <v>1237</v>
      </c>
      <c r="C459" s="26">
        <v>44455.338206018518</v>
      </c>
      <c r="D459">
        <v>4.41</v>
      </c>
      <c r="E459" t="s">
        <v>84</v>
      </c>
      <c r="F459" t="str">
        <f>RIGHT(Table_Query_from_SqlServer11[[#This Row],[item_id]],7)</f>
        <v>A26-421</v>
      </c>
    </row>
    <row r="460" spans="1:6" x14ac:dyDescent="0.25">
      <c r="A460" t="s">
        <v>207</v>
      </c>
      <c r="B460">
        <v>906</v>
      </c>
      <c r="C460" s="26">
        <v>44467.708379629628</v>
      </c>
      <c r="D460">
        <v>5.22</v>
      </c>
      <c r="E460" t="s">
        <v>80</v>
      </c>
      <c r="F460" t="str">
        <f>RIGHT(Table_Query_from_SqlServer11[[#This Row],[item_id]],7)</f>
        <v>A26-421</v>
      </c>
    </row>
    <row r="461" spans="1:6" x14ac:dyDescent="0.25">
      <c r="A461" t="s">
        <v>207</v>
      </c>
      <c r="B461">
        <v>905</v>
      </c>
      <c r="C461" s="26">
        <v>44467.708298611113</v>
      </c>
      <c r="D461">
        <v>4.92</v>
      </c>
      <c r="E461" t="s">
        <v>78</v>
      </c>
      <c r="F461" t="str">
        <f>RIGHT(Table_Query_from_SqlServer11[[#This Row],[item_id]],7)</f>
        <v>A26-421</v>
      </c>
    </row>
    <row r="462" spans="1:6" x14ac:dyDescent="0.25">
      <c r="A462" t="s">
        <v>208</v>
      </c>
      <c r="B462">
        <v>905</v>
      </c>
      <c r="C462" s="26">
        <v>44479.399502314816</v>
      </c>
      <c r="D462">
        <v>3.7</v>
      </c>
      <c r="E462" t="s">
        <v>78</v>
      </c>
      <c r="F462" t="str">
        <f>RIGHT(Table_Query_from_SqlServer11[[#This Row],[item_id]],7)</f>
        <v>A26-422</v>
      </c>
    </row>
    <row r="463" spans="1:6" x14ac:dyDescent="0.25">
      <c r="A463" t="s">
        <v>208</v>
      </c>
      <c r="B463">
        <v>906</v>
      </c>
      <c r="C463" s="26">
        <v>44496.298067129632</v>
      </c>
      <c r="D463">
        <v>5.27</v>
      </c>
      <c r="E463" t="s">
        <v>80</v>
      </c>
      <c r="F463" t="str">
        <f>RIGHT(Table_Query_from_SqlServer11[[#This Row],[item_id]],7)</f>
        <v>A26-422</v>
      </c>
    </row>
    <row r="464" spans="1:6" x14ac:dyDescent="0.25">
      <c r="A464" t="s">
        <v>208</v>
      </c>
      <c r="B464">
        <v>1236</v>
      </c>
      <c r="C464" s="26">
        <v>44472.428912037038</v>
      </c>
      <c r="D464">
        <v>3.76</v>
      </c>
      <c r="E464" t="s">
        <v>82</v>
      </c>
      <c r="F464" t="str">
        <f>RIGHT(Table_Query_from_SqlServer11[[#This Row],[item_id]],7)</f>
        <v>A26-422</v>
      </c>
    </row>
    <row r="465" spans="1:6" x14ac:dyDescent="0.25">
      <c r="A465" t="s">
        <v>208</v>
      </c>
      <c r="B465">
        <v>1237</v>
      </c>
      <c r="C465" s="26">
        <v>44472.428912037038</v>
      </c>
      <c r="D465">
        <v>4.1900000000000004</v>
      </c>
      <c r="E465" t="s">
        <v>84</v>
      </c>
      <c r="F465" t="str">
        <f>RIGHT(Table_Query_from_SqlServer11[[#This Row],[item_id]],7)</f>
        <v>A26-422</v>
      </c>
    </row>
    <row r="466" spans="1:6" x14ac:dyDescent="0.25">
      <c r="A466" t="s">
        <v>209</v>
      </c>
      <c r="B466">
        <v>1236</v>
      </c>
      <c r="C466" s="26">
        <v>44487.443726851852</v>
      </c>
      <c r="D466">
        <v>0.66</v>
      </c>
      <c r="E466" t="s">
        <v>82</v>
      </c>
      <c r="F466" t="str">
        <f>RIGHT(Table_Query_from_SqlServer11[[#This Row],[item_id]],7)</f>
        <v>A26-423</v>
      </c>
    </row>
    <row r="467" spans="1:6" x14ac:dyDescent="0.25">
      <c r="A467" t="s">
        <v>209</v>
      </c>
      <c r="B467">
        <v>1237</v>
      </c>
      <c r="C467" s="26">
        <v>44487.443819444445</v>
      </c>
      <c r="D467">
        <v>0.77</v>
      </c>
      <c r="E467" t="s">
        <v>84</v>
      </c>
      <c r="F467" t="str">
        <f>RIGHT(Table_Query_from_SqlServer11[[#This Row],[item_id]],7)</f>
        <v>A26-423</v>
      </c>
    </row>
    <row r="468" spans="1:6" x14ac:dyDescent="0.25">
      <c r="A468" t="s">
        <v>209</v>
      </c>
      <c r="B468">
        <v>906</v>
      </c>
      <c r="C468" s="26">
        <v>44494.6875462963</v>
      </c>
      <c r="D468">
        <v>1.1599999999999999</v>
      </c>
      <c r="E468" t="s">
        <v>80</v>
      </c>
      <c r="F468" t="str">
        <f>RIGHT(Table_Query_from_SqlServer11[[#This Row],[item_id]],7)</f>
        <v>A26-423</v>
      </c>
    </row>
    <row r="469" spans="1:6" x14ac:dyDescent="0.25">
      <c r="A469" t="s">
        <v>209</v>
      </c>
      <c r="B469">
        <v>905</v>
      </c>
      <c r="C469" s="26">
        <v>44494.6875462963</v>
      </c>
      <c r="D469">
        <v>1.18</v>
      </c>
      <c r="E469" t="s">
        <v>78</v>
      </c>
      <c r="F469" t="str">
        <f>RIGHT(Table_Query_from_SqlServer11[[#This Row],[item_id]],7)</f>
        <v>A26-423</v>
      </c>
    </row>
    <row r="470" spans="1:6" x14ac:dyDescent="0.25">
      <c r="A470" t="s">
        <v>210</v>
      </c>
      <c r="B470">
        <v>905</v>
      </c>
      <c r="C470" s="26">
        <v>44503.483460648145</v>
      </c>
      <c r="D470">
        <v>3.85</v>
      </c>
      <c r="E470" t="s">
        <v>78</v>
      </c>
      <c r="F470" t="str">
        <f>RIGHT(Table_Query_from_SqlServer11[[#This Row],[item_id]],7)</f>
        <v>A26-424</v>
      </c>
    </row>
    <row r="471" spans="1:6" x14ac:dyDescent="0.25">
      <c r="A471" t="s">
        <v>210</v>
      </c>
      <c r="B471">
        <v>905</v>
      </c>
      <c r="C471" s="26">
        <v>44522.299247685187</v>
      </c>
      <c r="D471">
        <v>5.16</v>
      </c>
      <c r="E471" t="s">
        <v>78</v>
      </c>
      <c r="F471" t="str">
        <f>RIGHT(Table_Query_from_SqlServer11[[#This Row],[item_id]],7)</f>
        <v>A26-424</v>
      </c>
    </row>
    <row r="472" spans="1:6" x14ac:dyDescent="0.25">
      <c r="A472" t="s">
        <v>210</v>
      </c>
      <c r="B472">
        <v>906</v>
      </c>
      <c r="C472" s="26">
        <v>44503.483460648145</v>
      </c>
      <c r="D472">
        <v>4.5</v>
      </c>
      <c r="E472" t="s">
        <v>80</v>
      </c>
      <c r="F472" t="str">
        <f>RIGHT(Table_Query_from_SqlServer11[[#This Row],[item_id]],7)</f>
        <v>A26-424</v>
      </c>
    </row>
    <row r="473" spans="1:6" x14ac:dyDescent="0.25">
      <c r="A473" t="s">
        <v>210</v>
      </c>
      <c r="B473">
        <v>906</v>
      </c>
      <c r="C473" s="26">
        <v>44522.299247685187</v>
      </c>
      <c r="D473">
        <v>5.46</v>
      </c>
      <c r="E473" t="s">
        <v>80</v>
      </c>
      <c r="F473" t="str">
        <f>RIGHT(Table_Query_from_SqlServer11[[#This Row],[item_id]],7)</f>
        <v>A26-424</v>
      </c>
    </row>
    <row r="474" spans="1:6" x14ac:dyDescent="0.25">
      <c r="A474" t="s">
        <v>210</v>
      </c>
      <c r="B474">
        <v>1236</v>
      </c>
      <c r="C474" s="26">
        <v>44513.35429398148</v>
      </c>
      <c r="D474">
        <v>3.83</v>
      </c>
      <c r="E474" t="s">
        <v>82</v>
      </c>
      <c r="F474" t="str">
        <f>RIGHT(Table_Query_from_SqlServer11[[#This Row],[item_id]],7)</f>
        <v>A26-424</v>
      </c>
    </row>
    <row r="475" spans="1:6" x14ac:dyDescent="0.25">
      <c r="A475" t="s">
        <v>210</v>
      </c>
      <c r="B475">
        <v>1237</v>
      </c>
      <c r="C475" s="26">
        <v>44513.35429398148</v>
      </c>
      <c r="D475">
        <v>4.25</v>
      </c>
      <c r="E475" t="s">
        <v>84</v>
      </c>
      <c r="F475" t="str">
        <f>RIGHT(Table_Query_from_SqlServer11[[#This Row],[item_id]],7)</f>
        <v>A26-424</v>
      </c>
    </row>
    <row r="476" spans="1:6" x14ac:dyDescent="0.25">
      <c r="A476" t="s">
        <v>210</v>
      </c>
      <c r="B476">
        <v>1236</v>
      </c>
      <c r="C476" s="26">
        <v>44498.243344907409</v>
      </c>
      <c r="D476">
        <v>3.91</v>
      </c>
      <c r="E476" t="s">
        <v>82</v>
      </c>
      <c r="F476" t="str">
        <f>RIGHT(Table_Query_from_SqlServer11[[#This Row],[item_id]],7)</f>
        <v>A26-424</v>
      </c>
    </row>
    <row r="477" spans="1:6" x14ac:dyDescent="0.25">
      <c r="A477" t="s">
        <v>210</v>
      </c>
      <c r="B477">
        <v>1237</v>
      </c>
      <c r="C477" s="26">
        <v>44498.243344907409</v>
      </c>
      <c r="D477">
        <v>4.3899999999999997</v>
      </c>
      <c r="E477" t="s">
        <v>84</v>
      </c>
      <c r="F477" t="str">
        <f>RIGHT(Table_Query_from_SqlServer11[[#This Row],[item_id]],7)</f>
        <v>A26-424</v>
      </c>
    </row>
    <row r="478" spans="1:6" x14ac:dyDescent="0.25">
      <c r="A478" t="s">
        <v>211</v>
      </c>
      <c r="B478">
        <v>1236</v>
      </c>
      <c r="C478" s="26">
        <v>44513.37295138889</v>
      </c>
      <c r="D478">
        <v>0.38</v>
      </c>
      <c r="E478" t="s">
        <v>82</v>
      </c>
      <c r="F478" t="str">
        <f>RIGHT(Table_Query_from_SqlServer11[[#This Row],[item_id]],7)</f>
        <v>A26-425</v>
      </c>
    </row>
    <row r="479" spans="1:6" x14ac:dyDescent="0.25">
      <c r="A479" t="s">
        <v>211</v>
      </c>
      <c r="B479">
        <v>1237</v>
      </c>
      <c r="C479" s="26">
        <v>44513.37295138889</v>
      </c>
      <c r="D479">
        <v>0.42</v>
      </c>
      <c r="E479" t="s">
        <v>84</v>
      </c>
      <c r="F479" t="str">
        <f>RIGHT(Table_Query_from_SqlServer11[[#This Row],[item_id]],7)</f>
        <v>A26-425</v>
      </c>
    </row>
    <row r="480" spans="1:6" x14ac:dyDescent="0.25">
      <c r="A480" t="s">
        <v>211</v>
      </c>
      <c r="B480">
        <v>906</v>
      </c>
      <c r="C480" s="26">
        <v>44522.295763888891</v>
      </c>
      <c r="D480">
        <v>0.7</v>
      </c>
      <c r="E480" t="s">
        <v>80</v>
      </c>
      <c r="F480" t="str">
        <f>RIGHT(Table_Query_from_SqlServer11[[#This Row],[item_id]],7)</f>
        <v>A26-425</v>
      </c>
    </row>
    <row r="481" spans="1:6" x14ac:dyDescent="0.25">
      <c r="A481" t="s">
        <v>211</v>
      </c>
      <c r="B481">
        <v>905</v>
      </c>
      <c r="C481" s="26">
        <v>44522.295763888891</v>
      </c>
      <c r="D481">
        <v>0.7</v>
      </c>
      <c r="E481" t="s">
        <v>78</v>
      </c>
      <c r="F481" t="str">
        <f>RIGHT(Table_Query_from_SqlServer11[[#This Row],[item_id]],7)</f>
        <v>A26-425</v>
      </c>
    </row>
    <row r="482" spans="1:6" x14ac:dyDescent="0.25">
      <c r="A482" t="s">
        <v>212</v>
      </c>
      <c r="B482">
        <v>905</v>
      </c>
      <c r="C482" s="26">
        <v>44553.472233796296</v>
      </c>
      <c r="D482">
        <v>5.07</v>
      </c>
      <c r="E482" t="s">
        <v>78</v>
      </c>
      <c r="F482" t="str">
        <f>RIGHT(Table_Query_from_SqlServer11[[#This Row],[item_id]],7)</f>
        <v>A26-426</v>
      </c>
    </row>
    <row r="483" spans="1:6" x14ac:dyDescent="0.25">
      <c r="A483" t="s">
        <v>212</v>
      </c>
      <c r="B483">
        <v>906</v>
      </c>
      <c r="C483" s="26">
        <v>44553.472488425927</v>
      </c>
      <c r="D483">
        <v>5.0999999999999996</v>
      </c>
      <c r="E483" t="s">
        <v>80</v>
      </c>
      <c r="F483" t="str">
        <f>RIGHT(Table_Query_from_SqlServer11[[#This Row],[item_id]],7)</f>
        <v>A26-426</v>
      </c>
    </row>
    <row r="484" spans="1:6" x14ac:dyDescent="0.25">
      <c r="A484" t="s">
        <v>212</v>
      </c>
      <c r="B484">
        <v>1236</v>
      </c>
      <c r="C484" s="26">
        <v>44532.403310185182</v>
      </c>
      <c r="D484">
        <v>3.43</v>
      </c>
      <c r="E484" t="s">
        <v>82</v>
      </c>
      <c r="F484" t="str">
        <f>RIGHT(Table_Query_from_SqlServer11[[#This Row],[item_id]],7)</f>
        <v>A26-426</v>
      </c>
    </row>
    <row r="485" spans="1:6" x14ac:dyDescent="0.25">
      <c r="A485" t="s">
        <v>212</v>
      </c>
      <c r="B485">
        <v>1237</v>
      </c>
      <c r="C485" s="26">
        <v>44532.403414351851</v>
      </c>
      <c r="D485">
        <v>3.93</v>
      </c>
      <c r="E485" t="s">
        <v>84</v>
      </c>
      <c r="F485" t="str">
        <f>RIGHT(Table_Query_from_SqlServer11[[#This Row],[item_id]],7)</f>
        <v>A26-426</v>
      </c>
    </row>
    <row r="486" spans="1:6" x14ac:dyDescent="0.25">
      <c r="A486" t="s">
        <v>213</v>
      </c>
      <c r="B486">
        <v>1236</v>
      </c>
      <c r="C486" s="26">
        <v>44538.59443287037</v>
      </c>
      <c r="D486">
        <v>3.7</v>
      </c>
      <c r="E486" t="s">
        <v>82</v>
      </c>
      <c r="F486" t="str">
        <f>RIGHT(Table_Query_from_SqlServer11[[#This Row],[item_id]],7)</f>
        <v>A26-427</v>
      </c>
    </row>
    <row r="487" spans="1:6" x14ac:dyDescent="0.25">
      <c r="A487" t="s">
        <v>213</v>
      </c>
      <c r="B487">
        <v>1237</v>
      </c>
      <c r="C487" s="26">
        <v>44538.59443287037</v>
      </c>
      <c r="D487">
        <v>4.1900000000000004</v>
      </c>
      <c r="E487" t="s">
        <v>84</v>
      </c>
      <c r="F487" t="str">
        <f>RIGHT(Table_Query_from_SqlServer11[[#This Row],[item_id]],7)</f>
        <v>A26-427</v>
      </c>
    </row>
    <row r="488" spans="1:6" x14ac:dyDescent="0.25">
      <c r="A488" t="s">
        <v>213</v>
      </c>
      <c r="B488">
        <v>906</v>
      </c>
      <c r="C488" s="26">
        <v>44553.471354166664</v>
      </c>
      <c r="D488">
        <v>5.19</v>
      </c>
      <c r="E488" t="s">
        <v>80</v>
      </c>
      <c r="F488" t="str">
        <f>RIGHT(Table_Query_from_SqlServer11[[#This Row],[item_id]],7)</f>
        <v>A26-427</v>
      </c>
    </row>
    <row r="489" spans="1:6" x14ac:dyDescent="0.25">
      <c r="A489" t="s">
        <v>213</v>
      </c>
      <c r="B489">
        <v>905</v>
      </c>
      <c r="C489" s="26">
        <v>44553.471122685187</v>
      </c>
      <c r="D489">
        <v>5.13</v>
      </c>
      <c r="E489" t="s">
        <v>78</v>
      </c>
      <c r="F489" t="str">
        <f>RIGHT(Table_Query_from_SqlServer11[[#This Row],[item_id]],7)</f>
        <v>A26-427</v>
      </c>
    </row>
    <row r="490" spans="1:6" x14ac:dyDescent="0.25">
      <c r="A490" t="s">
        <v>214</v>
      </c>
      <c r="B490">
        <v>905</v>
      </c>
      <c r="C490" s="26">
        <v>44565.50953703704</v>
      </c>
      <c r="D490">
        <v>4.9400000000000004</v>
      </c>
      <c r="E490" t="s">
        <v>78</v>
      </c>
      <c r="F490" t="str">
        <f>RIGHT(Table_Query_from_SqlServer11[[#This Row],[item_id]],7)</f>
        <v>A26-428</v>
      </c>
    </row>
    <row r="491" spans="1:6" x14ac:dyDescent="0.25">
      <c r="A491" t="s">
        <v>214</v>
      </c>
      <c r="B491">
        <v>906</v>
      </c>
      <c r="C491" s="26">
        <v>44565.509814814817</v>
      </c>
      <c r="D491">
        <v>5.61</v>
      </c>
      <c r="E491" t="s">
        <v>80</v>
      </c>
      <c r="F491" t="str">
        <f>RIGHT(Table_Query_from_SqlServer11[[#This Row],[item_id]],7)</f>
        <v>A26-428</v>
      </c>
    </row>
    <row r="492" spans="1:6" x14ac:dyDescent="0.25">
      <c r="A492" t="s">
        <v>214</v>
      </c>
      <c r="B492">
        <v>1236</v>
      </c>
      <c r="C492" s="26">
        <v>44553.481909722221</v>
      </c>
      <c r="D492">
        <v>3.37</v>
      </c>
      <c r="E492" t="s">
        <v>82</v>
      </c>
      <c r="F492" t="str">
        <f>RIGHT(Table_Query_from_SqlServer11[[#This Row],[item_id]],7)</f>
        <v>A26-428</v>
      </c>
    </row>
    <row r="493" spans="1:6" x14ac:dyDescent="0.25">
      <c r="A493" t="s">
        <v>214</v>
      </c>
      <c r="B493">
        <v>1237</v>
      </c>
      <c r="C493" s="26">
        <v>44553.482256944444</v>
      </c>
      <c r="D493">
        <v>3.98</v>
      </c>
      <c r="E493" t="s">
        <v>84</v>
      </c>
      <c r="F493" t="str">
        <f>RIGHT(Table_Query_from_SqlServer11[[#This Row],[item_id]],7)</f>
        <v>A26-428</v>
      </c>
    </row>
    <row r="494" spans="1:6" x14ac:dyDescent="0.25">
      <c r="A494" t="s">
        <v>215</v>
      </c>
      <c r="B494">
        <v>1236</v>
      </c>
      <c r="C494" s="26">
        <v>44569.672939814816</v>
      </c>
      <c r="D494">
        <v>3.82</v>
      </c>
      <c r="E494" t="s">
        <v>82</v>
      </c>
      <c r="F494" t="str">
        <f>RIGHT(Table_Query_from_SqlServer11[[#This Row],[item_id]],7)</f>
        <v>A26-429</v>
      </c>
    </row>
    <row r="495" spans="1:6" x14ac:dyDescent="0.25">
      <c r="A495" t="s">
        <v>215</v>
      </c>
      <c r="B495">
        <v>1237</v>
      </c>
      <c r="C495" s="26">
        <v>44569.672939814816</v>
      </c>
      <c r="D495">
        <v>4.16</v>
      </c>
      <c r="E495" t="s">
        <v>84</v>
      </c>
      <c r="F495" t="str">
        <f>RIGHT(Table_Query_from_SqlServer11[[#This Row],[item_id]],7)</f>
        <v>A26-429</v>
      </c>
    </row>
    <row r="496" spans="1:6" x14ac:dyDescent="0.25">
      <c r="A496" t="s">
        <v>215</v>
      </c>
      <c r="B496">
        <v>906</v>
      </c>
      <c r="C496" s="26">
        <v>44580.382847222223</v>
      </c>
      <c r="D496">
        <v>6.08</v>
      </c>
      <c r="E496" t="s">
        <v>80</v>
      </c>
      <c r="F496" t="str">
        <f>RIGHT(Table_Query_from_SqlServer11[[#This Row],[item_id]],7)</f>
        <v>A26-429</v>
      </c>
    </row>
    <row r="497" spans="1:6" x14ac:dyDescent="0.25">
      <c r="A497" t="s">
        <v>215</v>
      </c>
      <c r="B497">
        <v>905</v>
      </c>
      <c r="C497" s="26">
        <v>44580.3825462963</v>
      </c>
      <c r="D497">
        <v>5.39</v>
      </c>
      <c r="E497" t="s">
        <v>78</v>
      </c>
      <c r="F497" t="str">
        <f>RIGHT(Table_Query_from_SqlServer11[[#This Row],[item_id]],7)</f>
        <v>A26-429</v>
      </c>
    </row>
    <row r="498" spans="1:6" x14ac:dyDescent="0.25">
      <c r="A498" t="s">
        <v>216</v>
      </c>
      <c r="B498">
        <v>905</v>
      </c>
      <c r="C498" s="26">
        <v>44589.477731481478</v>
      </c>
      <c r="D498">
        <v>4.93</v>
      </c>
      <c r="E498" t="s">
        <v>78</v>
      </c>
      <c r="F498" t="str">
        <f>RIGHT(Table_Query_from_SqlServer11[[#This Row],[item_id]],7)</f>
        <v>A26-430</v>
      </c>
    </row>
    <row r="499" spans="1:6" x14ac:dyDescent="0.25">
      <c r="A499" t="s">
        <v>216</v>
      </c>
      <c r="B499">
        <v>906</v>
      </c>
      <c r="C499" s="26">
        <v>44589.47792824074</v>
      </c>
      <c r="D499">
        <v>5.1100000000000003</v>
      </c>
      <c r="E499" t="s">
        <v>80</v>
      </c>
      <c r="F499" t="str">
        <f>RIGHT(Table_Query_from_SqlServer11[[#This Row],[item_id]],7)</f>
        <v>A26-430</v>
      </c>
    </row>
    <row r="500" spans="1:6" x14ac:dyDescent="0.25">
      <c r="A500" t="s">
        <v>216</v>
      </c>
      <c r="B500">
        <v>1236</v>
      </c>
      <c r="C500" s="26">
        <v>44580.323865740742</v>
      </c>
      <c r="D500">
        <v>3.56</v>
      </c>
      <c r="E500" t="s">
        <v>82</v>
      </c>
      <c r="F500" t="str">
        <f>RIGHT(Table_Query_from_SqlServer11[[#This Row],[item_id]],7)</f>
        <v>A26-430</v>
      </c>
    </row>
    <row r="501" spans="1:6" x14ac:dyDescent="0.25">
      <c r="A501" t="s">
        <v>216</v>
      </c>
      <c r="B501">
        <v>1237</v>
      </c>
      <c r="C501" s="26">
        <v>44580.324340277781</v>
      </c>
      <c r="D501">
        <v>4.05</v>
      </c>
      <c r="E501" t="s">
        <v>84</v>
      </c>
      <c r="F501" t="str">
        <f>RIGHT(Table_Query_from_SqlServer11[[#This Row],[item_id]],7)</f>
        <v>A26-430</v>
      </c>
    </row>
    <row r="502" spans="1:6" x14ac:dyDescent="0.25">
      <c r="A502" t="s">
        <v>217</v>
      </c>
      <c r="B502">
        <v>1236</v>
      </c>
      <c r="C502" s="26">
        <v>44589.480381944442</v>
      </c>
      <c r="D502">
        <v>3.52</v>
      </c>
      <c r="E502" t="s">
        <v>82</v>
      </c>
      <c r="F502" t="str">
        <f>RIGHT(Table_Query_from_SqlServer11[[#This Row],[item_id]],7)</f>
        <v>A26-431</v>
      </c>
    </row>
    <row r="503" spans="1:6" x14ac:dyDescent="0.25">
      <c r="A503" t="s">
        <v>217</v>
      </c>
      <c r="B503">
        <v>1237</v>
      </c>
      <c r="C503" s="26">
        <v>44589.480636574073</v>
      </c>
      <c r="D503">
        <v>4.1100000000000003</v>
      </c>
      <c r="E503" t="s">
        <v>84</v>
      </c>
      <c r="F503" t="str">
        <f>RIGHT(Table_Query_from_SqlServer11[[#This Row],[item_id]],7)</f>
        <v>A26-431</v>
      </c>
    </row>
    <row r="504" spans="1:6" x14ac:dyDescent="0.25">
      <c r="A504" t="s">
        <v>217</v>
      </c>
      <c r="B504">
        <v>906</v>
      </c>
      <c r="C504" s="26">
        <v>44596.619699074072</v>
      </c>
      <c r="D504">
        <v>5.0999999999999996</v>
      </c>
      <c r="E504" t="s">
        <v>80</v>
      </c>
      <c r="F504" t="str">
        <f>RIGHT(Table_Query_from_SqlServer11[[#This Row],[item_id]],7)</f>
        <v>A26-431</v>
      </c>
    </row>
    <row r="505" spans="1:6" x14ac:dyDescent="0.25">
      <c r="A505" t="s">
        <v>217</v>
      </c>
      <c r="B505">
        <v>905</v>
      </c>
      <c r="C505" s="26">
        <v>44596.619479166664</v>
      </c>
      <c r="D505">
        <v>5</v>
      </c>
      <c r="E505" t="s">
        <v>78</v>
      </c>
      <c r="F505" t="str">
        <f>RIGHT(Table_Query_from_SqlServer11[[#This Row],[item_id]],7)</f>
        <v>A26-431</v>
      </c>
    </row>
    <row r="506" spans="1:6" x14ac:dyDescent="0.25">
      <c r="A506" t="s">
        <v>218</v>
      </c>
      <c r="B506">
        <v>905</v>
      </c>
      <c r="C506" s="26">
        <v>44697.302997685183</v>
      </c>
      <c r="D506">
        <v>0.62</v>
      </c>
      <c r="E506" t="s">
        <v>78</v>
      </c>
      <c r="F506" t="str">
        <f>RIGHT(Table_Query_from_SqlServer11[[#This Row],[item_id]],7)</f>
        <v>A26-436</v>
      </c>
    </row>
    <row r="507" spans="1:6" x14ac:dyDescent="0.25">
      <c r="A507" t="s">
        <v>218</v>
      </c>
      <c r="B507">
        <v>906</v>
      </c>
      <c r="C507" s="26">
        <v>44697.303368055553</v>
      </c>
      <c r="D507">
        <v>0.6</v>
      </c>
      <c r="E507" t="s">
        <v>80</v>
      </c>
      <c r="F507" t="str">
        <f>RIGHT(Table_Query_from_SqlServer11[[#This Row],[item_id]],7)</f>
        <v>A26-436</v>
      </c>
    </row>
    <row r="508" spans="1:6" x14ac:dyDescent="0.25">
      <c r="A508" t="s">
        <v>218</v>
      </c>
      <c r="B508">
        <v>1236</v>
      </c>
      <c r="C508" s="26">
        <v>44690.598402777781</v>
      </c>
      <c r="D508">
        <v>0.34</v>
      </c>
      <c r="E508" t="s">
        <v>82</v>
      </c>
      <c r="F508" t="str">
        <f>RIGHT(Table_Query_from_SqlServer11[[#This Row],[item_id]],7)</f>
        <v>A26-436</v>
      </c>
    </row>
    <row r="509" spans="1:6" x14ac:dyDescent="0.25">
      <c r="A509" t="s">
        <v>218</v>
      </c>
      <c r="B509">
        <v>1237</v>
      </c>
      <c r="C509" s="26">
        <v>44690.598402777781</v>
      </c>
      <c r="D509">
        <v>0.32</v>
      </c>
      <c r="E509" t="s">
        <v>84</v>
      </c>
      <c r="F509" t="str">
        <f>RIGHT(Table_Query_from_SqlServer11[[#This Row],[item_id]],7)</f>
        <v>A26-436</v>
      </c>
    </row>
    <row r="510" spans="1:6" x14ac:dyDescent="0.25">
      <c r="A510" t="s">
        <v>219</v>
      </c>
      <c r="B510">
        <v>1236</v>
      </c>
      <c r="C510" s="26">
        <v>44700.533171296294</v>
      </c>
      <c r="D510">
        <v>0.38</v>
      </c>
      <c r="E510" t="s">
        <v>82</v>
      </c>
      <c r="F510" t="str">
        <f>RIGHT(Table_Query_from_SqlServer11[[#This Row],[item_id]],7)</f>
        <v>A26-437</v>
      </c>
    </row>
    <row r="511" spans="1:6" x14ac:dyDescent="0.25">
      <c r="A511" t="s">
        <v>219</v>
      </c>
      <c r="B511">
        <v>1237</v>
      </c>
      <c r="C511" s="26">
        <v>44700.533171296294</v>
      </c>
      <c r="D511">
        <v>0.45</v>
      </c>
      <c r="E511" t="s">
        <v>84</v>
      </c>
      <c r="F511" t="str">
        <f>RIGHT(Table_Query_from_SqlServer11[[#This Row],[item_id]],7)</f>
        <v>A26-437</v>
      </c>
    </row>
    <row r="512" spans="1:6" x14ac:dyDescent="0.25">
      <c r="A512" t="s">
        <v>219</v>
      </c>
      <c r="B512">
        <v>906</v>
      </c>
      <c r="C512" s="26">
        <v>44711.396631944444</v>
      </c>
      <c r="D512">
        <v>0.61</v>
      </c>
      <c r="E512" t="s">
        <v>80</v>
      </c>
      <c r="F512" t="str">
        <f>RIGHT(Table_Query_from_SqlServer11[[#This Row],[item_id]],7)</f>
        <v>A26-437</v>
      </c>
    </row>
    <row r="513" spans="1:6" x14ac:dyDescent="0.25">
      <c r="A513" t="s">
        <v>219</v>
      </c>
      <c r="B513">
        <v>905</v>
      </c>
      <c r="C513" s="26">
        <v>44711.396631944444</v>
      </c>
      <c r="D513">
        <v>0.62</v>
      </c>
      <c r="E513" t="s">
        <v>78</v>
      </c>
      <c r="F513" t="str">
        <f>RIGHT(Table_Query_from_SqlServer11[[#This Row],[item_id]],7)</f>
        <v>A26-437</v>
      </c>
    </row>
    <row r="514" spans="1:6" x14ac:dyDescent="0.25">
      <c r="A514" t="s">
        <v>220</v>
      </c>
      <c r="B514">
        <v>905</v>
      </c>
      <c r="C514" s="26">
        <v>44732.589618055557</v>
      </c>
      <c r="D514">
        <v>0.61</v>
      </c>
      <c r="E514" t="s">
        <v>78</v>
      </c>
      <c r="F514" t="str">
        <f>RIGHT(Table_Query_from_SqlServer11[[#This Row],[item_id]],7)</f>
        <v>A26-438</v>
      </c>
    </row>
    <row r="515" spans="1:6" x14ac:dyDescent="0.25">
      <c r="A515" t="s">
        <v>220</v>
      </c>
      <c r="B515">
        <v>906</v>
      </c>
      <c r="C515" s="26">
        <v>44732.589907407404</v>
      </c>
      <c r="D515">
        <v>0.6</v>
      </c>
      <c r="E515" t="s">
        <v>80</v>
      </c>
      <c r="F515" t="str">
        <f>RIGHT(Table_Query_from_SqlServer11[[#This Row],[item_id]],7)</f>
        <v>A26-438</v>
      </c>
    </row>
    <row r="516" spans="1:6" x14ac:dyDescent="0.25">
      <c r="A516" t="s">
        <v>220</v>
      </c>
      <c r="B516">
        <v>1236</v>
      </c>
      <c r="C516" s="26">
        <v>44721.560590277775</v>
      </c>
      <c r="D516">
        <v>0.37</v>
      </c>
      <c r="E516" t="s">
        <v>82</v>
      </c>
      <c r="F516" t="str">
        <f>RIGHT(Table_Query_from_SqlServer11[[#This Row],[item_id]],7)</f>
        <v>A26-438</v>
      </c>
    </row>
    <row r="517" spans="1:6" x14ac:dyDescent="0.25">
      <c r="A517" t="s">
        <v>220</v>
      </c>
      <c r="B517">
        <v>1237</v>
      </c>
      <c r="C517" s="26">
        <v>44721.560590277775</v>
      </c>
      <c r="D517">
        <v>0.44</v>
      </c>
      <c r="E517" t="s">
        <v>84</v>
      </c>
      <c r="F517" t="str">
        <f>RIGHT(Table_Query_from_SqlServer11[[#This Row],[item_id]],7)</f>
        <v>A26-438</v>
      </c>
    </row>
    <row r="518" spans="1:6" x14ac:dyDescent="0.25">
      <c r="A518" t="s">
        <v>221</v>
      </c>
      <c r="B518">
        <v>1236</v>
      </c>
      <c r="C518" s="26">
        <v>44730.539131944446</v>
      </c>
      <c r="D518">
        <v>2.23</v>
      </c>
      <c r="E518" t="s">
        <v>82</v>
      </c>
      <c r="F518" t="str">
        <f>RIGHT(Table_Query_from_SqlServer11[[#This Row],[item_id]],7)</f>
        <v>A26-439</v>
      </c>
    </row>
    <row r="519" spans="1:6" x14ac:dyDescent="0.25">
      <c r="A519" t="s">
        <v>221</v>
      </c>
      <c r="B519">
        <v>1237</v>
      </c>
      <c r="C519" s="26">
        <v>44730.539513888885</v>
      </c>
      <c r="D519">
        <v>2.67</v>
      </c>
      <c r="E519" t="s">
        <v>84</v>
      </c>
      <c r="F519" t="str">
        <f>RIGHT(Table_Query_from_SqlServer11[[#This Row],[item_id]],7)</f>
        <v>A26-439</v>
      </c>
    </row>
    <row r="520" spans="1:6" x14ac:dyDescent="0.25">
      <c r="A520" t="s">
        <v>221</v>
      </c>
      <c r="B520">
        <v>906</v>
      </c>
      <c r="C520" s="26">
        <v>44740.697129629632</v>
      </c>
      <c r="D520">
        <v>3.92</v>
      </c>
      <c r="E520" t="s">
        <v>80</v>
      </c>
      <c r="F520" t="str">
        <f>RIGHT(Table_Query_from_SqlServer11[[#This Row],[item_id]],7)</f>
        <v>A26-439</v>
      </c>
    </row>
    <row r="521" spans="1:6" x14ac:dyDescent="0.25">
      <c r="A521" t="s">
        <v>221</v>
      </c>
      <c r="B521">
        <v>905</v>
      </c>
      <c r="C521" s="26">
        <v>44740.697129629632</v>
      </c>
      <c r="D521">
        <v>4.01</v>
      </c>
      <c r="E521" t="s">
        <v>78</v>
      </c>
      <c r="F521" t="str">
        <f>RIGHT(Table_Query_from_SqlServer11[[#This Row],[item_id]],7)</f>
        <v>A26-439</v>
      </c>
    </row>
    <row r="522" spans="1:6" x14ac:dyDescent="0.25">
      <c r="A522" t="s">
        <v>222</v>
      </c>
      <c r="B522">
        <v>905</v>
      </c>
      <c r="C522" s="26">
        <v>44754.63689814815</v>
      </c>
      <c r="D522">
        <v>3.64</v>
      </c>
      <c r="E522" t="s">
        <v>78</v>
      </c>
      <c r="F522" t="str">
        <f>RIGHT(Table_Query_from_SqlServer11[[#This Row],[item_id]],7)</f>
        <v>A26-440</v>
      </c>
    </row>
    <row r="523" spans="1:6" x14ac:dyDescent="0.25">
      <c r="A523" t="s">
        <v>222</v>
      </c>
      <c r="B523">
        <v>906</v>
      </c>
      <c r="C523" s="26">
        <v>44754.63689814815</v>
      </c>
      <c r="D523">
        <v>3.98</v>
      </c>
      <c r="E523" t="s">
        <v>80</v>
      </c>
      <c r="F523" t="str">
        <f>RIGHT(Table_Query_from_SqlServer11[[#This Row],[item_id]],7)</f>
        <v>A26-440</v>
      </c>
    </row>
    <row r="524" spans="1:6" x14ac:dyDescent="0.25">
      <c r="A524" t="s">
        <v>222</v>
      </c>
      <c r="B524">
        <v>1236</v>
      </c>
      <c r="C524" s="26">
        <v>44743.360497685186</v>
      </c>
      <c r="D524">
        <v>2.2200000000000002</v>
      </c>
      <c r="E524" t="s">
        <v>82</v>
      </c>
      <c r="F524" t="str">
        <f>RIGHT(Table_Query_from_SqlServer11[[#This Row],[item_id]],7)</f>
        <v>A26-440</v>
      </c>
    </row>
    <row r="525" spans="1:6" x14ac:dyDescent="0.25">
      <c r="A525" t="s">
        <v>222</v>
      </c>
      <c r="B525">
        <v>1237</v>
      </c>
      <c r="C525" s="26">
        <v>44743.36074074074</v>
      </c>
      <c r="D525">
        <v>2.77</v>
      </c>
      <c r="E525" t="s">
        <v>84</v>
      </c>
      <c r="F525" t="str">
        <f>RIGHT(Table_Query_from_SqlServer11[[#This Row],[item_id]],7)</f>
        <v>A26-440</v>
      </c>
    </row>
    <row r="526" spans="1:6" x14ac:dyDescent="0.25">
      <c r="A526" t="s">
        <v>223</v>
      </c>
      <c r="B526">
        <v>1236</v>
      </c>
      <c r="C526" s="26">
        <v>44758.532881944448</v>
      </c>
      <c r="D526">
        <v>0.28000000000000003</v>
      </c>
      <c r="E526" t="s">
        <v>82</v>
      </c>
      <c r="F526" t="str">
        <f>RIGHT(Table_Query_from_SqlServer11[[#This Row],[item_id]],7)</f>
        <v>A26-441</v>
      </c>
    </row>
    <row r="527" spans="1:6" x14ac:dyDescent="0.25">
      <c r="A527" t="s">
        <v>223</v>
      </c>
      <c r="B527">
        <v>1237</v>
      </c>
      <c r="C527" s="26">
        <v>44758.533055555556</v>
      </c>
      <c r="D527">
        <v>0.34</v>
      </c>
      <c r="E527" t="s">
        <v>84</v>
      </c>
      <c r="F527" t="str">
        <f>RIGHT(Table_Query_from_SqlServer11[[#This Row],[item_id]],7)</f>
        <v>A26-441</v>
      </c>
    </row>
    <row r="528" spans="1:6" x14ac:dyDescent="0.25">
      <c r="A528" t="s">
        <v>223</v>
      </c>
      <c r="B528">
        <v>906</v>
      </c>
      <c r="C528" s="26">
        <v>44768.33965277778</v>
      </c>
      <c r="D528">
        <v>0.47</v>
      </c>
      <c r="E528" t="s">
        <v>80</v>
      </c>
      <c r="F528" t="str">
        <f>RIGHT(Table_Query_from_SqlServer11[[#This Row],[item_id]],7)</f>
        <v>A26-441</v>
      </c>
    </row>
    <row r="529" spans="1:6" x14ac:dyDescent="0.25">
      <c r="A529" t="s">
        <v>223</v>
      </c>
      <c r="B529">
        <v>905</v>
      </c>
      <c r="C529" s="26">
        <v>44768.33965277778</v>
      </c>
      <c r="D529">
        <v>0.51</v>
      </c>
      <c r="E529" t="s">
        <v>78</v>
      </c>
      <c r="F529" t="str">
        <f>RIGHT(Table_Query_from_SqlServer11[[#This Row],[item_id]],7)</f>
        <v>A26-441</v>
      </c>
    </row>
    <row r="530" spans="1:6" x14ac:dyDescent="0.25">
      <c r="A530" t="s">
        <v>224</v>
      </c>
      <c r="B530">
        <v>905</v>
      </c>
      <c r="C530" s="26">
        <v>44776.617175925923</v>
      </c>
      <c r="D530">
        <v>3.48</v>
      </c>
      <c r="E530" t="s">
        <v>78</v>
      </c>
      <c r="F530" t="str">
        <f>RIGHT(Table_Query_from_SqlServer11[[#This Row],[item_id]],7)</f>
        <v>A26-442</v>
      </c>
    </row>
    <row r="531" spans="1:6" x14ac:dyDescent="0.25">
      <c r="A531" t="s">
        <v>224</v>
      </c>
      <c r="B531">
        <v>906</v>
      </c>
      <c r="C531" s="26">
        <v>44776.617175925923</v>
      </c>
      <c r="D531">
        <v>3.54</v>
      </c>
      <c r="E531" t="s">
        <v>80</v>
      </c>
      <c r="F531" t="str">
        <f>RIGHT(Table_Query_from_SqlServer11[[#This Row],[item_id]],7)</f>
        <v>A26-442</v>
      </c>
    </row>
    <row r="532" spans="1:6" x14ac:dyDescent="0.25">
      <c r="A532" t="s">
        <v>224</v>
      </c>
      <c r="B532">
        <v>1236</v>
      </c>
      <c r="C532" s="26">
        <v>44770.468761574077</v>
      </c>
      <c r="D532">
        <v>1.87</v>
      </c>
      <c r="E532" t="s">
        <v>82</v>
      </c>
      <c r="F532" t="str">
        <f>RIGHT(Table_Query_from_SqlServer11[[#This Row],[item_id]],7)</f>
        <v>A26-442</v>
      </c>
    </row>
    <row r="533" spans="1:6" x14ac:dyDescent="0.25">
      <c r="A533" t="s">
        <v>224</v>
      </c>
      <c r="B533">
        <v>1237</v>
      </c>
      <c r="C533" s="26">
        <v>44770.468761574077</v>
      </c>
      <c r="D533">
        <v>2.2999999999999998</v>
      </c>
      <c r="E533" t="s">
        <v>84</v>
      </c>
      <c r="F533" t="str">
        <f>RIGHT(Table_Query_from_SqlServer11[[#This Row],[item_id]],7)</f>
        <v>A26-442</v>
      </c>
    </row>
    <row r="534" spans="1:6" x14ac:dyDescent="0.25">
      <c r="A534" t="s">
        <v>225</v>
      </c>
      <c r="B534">
        <v>1237</v>
      </c>
      <c r="C534" s="26">
        <v>44795.401180555556</v>
      </c>
      <c r="D534">
        <v>2.25</v>
      </c>
      <c r="E534" t="s">
        <v>84</v>
      </c>
      <c r="F534" t="str">
        <f>RIGHT(Table_Query_from_SqlServer11[[#This Row],[item_id]],7)</f>
        <v>A26-443</v>
      </c>
    </row>
    <row r="535" spans="1:6" x14ac:dyDescent="0.25">
      <c r="A535" t="s">
        <v>225</v>
      </c>
      <c r="B535">
        <v>1236</v>
      </c>
      <c r="C535" s="26">
        <v>44795.401412037034</v>
      </c>
      <c r="D535">
        <v>1.83</v>
      </c>
      <c r="E535" t="s">
        <v>82</v>
      </c>
      <c r="F535" t="str">
        <f>RIGHT(Table_Query_from_SqlServer11[[#This Row],[item_id]],7)</f>
        <v>A26-443</v>
      </c>
    </row>
    <row r="536" spans="1:6" x14ac:dyDescent="0.25">
      <c r="A536" t="s">
        <v>225</v>
      </c>
      <c r="B536">
        <v>906</v>
      </c>
      <c r="C536" s="26">
        <v>44802.385381944441</v>
      </c>
      <c r="D536">
        <v>3.49</v>
      </c>
      <c r="E536" t="s">
        <v>80</v>
      </c>
      <c r="F536" t="str">
        <f>RIGHT(Table_Query_from_SqlServer11[[#This Row],[item_id]],7)</f>
        <v>A26-443</v>
      </c>
    </row>
    <row r="537" spans="1:6" x14ac:dyDescent="0.25">
      <c r="A537" t="s">
        <v>225</v>
      </c>
      <c r="B537">
        <v>905</v>
      </c>
      <c r="C537" s="26">
        <v>44802.385127314818</v>
      </c>
      <c r="D537">
        <v>3.53</v>
      </c>
      <c r="E537" t="s">
        <v>78</v>
      </c>
      <c r="F537" t="str">
        <f>RIGHT(Table_Query_from_SqlServer11[[#This Row],[item_id]],7)</f>
        <v>A26-443</v>
      </c>
    </row>
    <row r="538" spans="1:6" x14ac:dyDescent="0.25">
      <c r="A538" t="s">
        <v>226</v>
      </c>
      <c r="B538">
        <v>905</v>
      </c>
      <c r="C538" s="26">
        <v>44820.466736111113</v>
      </c>
      <c r="D538">
        <v>4.62</v>
      </c>
      <c r="E538" t="s">
        <v>78</v>
      </c>
      <c r="F538" t="str">
        <f>RIGHT(Table_Query_from_SqlServer11[[#This Row],[item_id]],7)</f>
        <v>A26-444</v>
      </c>
    </row>
    <row r="539" spans="1:6" x14ac:dyDescent="0.25">
      <c r="A539" t="s">
        <v>226</v>
      </c>
      <c r="B539">
        <v>906</v>
      </c>
      <c r="C539" s="26">
        <v>44820.466863425929</v>
      </c>
      <c r="D539">
        <v>5.09</v>
      </c>
      <c r="E539" t="s">
        <v>80</v>
      </c>
      <c r="F539" t="str">
        <f>RIGHT(Table_Query_from_SqlServer11[[#This Row],[item_id]],7)</f>
        <v>A26-444</v>
      </c>
    </row>
    <row r="540" spans="1:6" x14ac:dyDescent="0.25">
      <c r="A540" t="s">
        <v>226</v>
      </c>
      <c r="B540">
        <v>1236</v>
      </c>
      <c r="C540" s="26">
        <v>44810.899074074077</v>
      </c>
      <c r="D540">
        <v>3.28</v>
      </c>
      <c r="E540" t="s">
        <v>82</v>
      </c>
      <c r="F540" t="str">
        <f>RIGHT(Table_Query_from_SqlServer11[[#This Row],[item_id]],7)</f>
        <v>A26-444</v>
      </c>
    </row>
    <row r="541" spans="1:6" x14ac:dyDescent="0.25">
      <c r="A541" t="s">
        <v>226</v>
      </c>
      <c r="B541">
        <v>1237</v>
      </c>
      <c r="C541" s="26">
        <v>44810.899074074077</v>
      </c>
      <c r="D541">
        <v>3.87</v>
      </c>
      <c r="E541" t="s">
        <v>84</v>
      </c>
      <c r="F541" t="str">
        <f>RIGHT(Table_Query_from_SqlServer11[[#This Row],[item_id]],7)</f>
        <v>A26-444</v>
      </c>
    </row>
    <row r="542" spans="1:6" x14ac:dyDescent="0.25">
      <c r="A542" t="s">
        <v>227</v>
      </c>
      <c r="B542">
        <v>1236</v>
      </c>
      <c r="C542" s="26">
        <v>44820.46770833333</v>
      </c>
      <c r="D542">
        <v>3.26</v>
      </c>
      <c r="E542" t="s">
        <v>82</v>
      </c>
      <c r="F542" t="str">
        <f>RIGHT(Table_Query_from_SqlServer11[[#This Row],[item_id]],7)</f>
        <v>A26-445</v>
      </c>
    </row>
    <row r="543" spans="1:6" x14ac:dyDescent="0.25">
      <c r="A543" t="s">
        <v>227</v>
      </c>
      <c r="B543">
        <v>1237</v>
      </c>
      <c r="C543" s="26">
        <v>44820.467800925922</v>
      </c>
      <c r="D543">
        <v>3.87</v>
      </c>
      <c r="E543" t="s">
        <v>84</v>
      </c>
      <c r="F543" t="str">
        <f>RIGHT(Table_Query_from_SqlServer11[[#This Row],[item_id]],7)</f>
        <v>A26-445</v>
      </c>
    </row>
    <row r="544" spans="1:6" x14ac:dyDescent="0.25">
      <c r="A544" t="s">
        <v>227</v>
      </c>
      <c r="B544">
        <v>906</v>
      </c>
      <c r="C544" s="26">
        <v>44826.920844907407</v>
      </c>
      <c r="D544">
        <v>5.0999999999999996</v>
      </c>
      <c r="E544" t="s">
        <v>80</v>
      </c>
      <c r="F544" t="str">
        <f>RIGHT(Table_Query_from_SqlServer11[[#This Row],[item_id]],7)</f>
        <v>A26-445</v>
      </c>
    </row>
    <row r="545" spans="1:6" x14ac:dyDescent="0.25">
      <c r="A545" t="s">
        <v>227</v>
      </c>
      <c r="B545">
        <v>905</v>
      </c>
      <c r="C545" s="26">
        <v>44826.920844907407</v>
      </c>
      <c r="D545">
        <v>4.75</v>
      </c>
      <c r="E545" t="s">
        <v>78</v>
      </c>
      <c r="F545" t="str">
        <f>RIGHT(Table_Query_from_SqlServer11[[#This Row],[item_id]],7)</f>
        <v>A26-445</v>
      </c>
    </row>
    <row r="546" spans="1:6" x14ac:dyDescent="0.25">
      <c r="A546" t="s">
        <v>228</v>
      </c>
      <c r="B546">
        <v>905</v>
      </c>
      <c r="C546" s="26">
        <v>44901.591608796298</v>
      </c>
      <c r="D546">
        <v>4.7</v>
      </c>
      <c r="E546" t="s">
        <v>78</v>
      </c>
      <c r="F546" t="str">
        <f>RIGHT(Table_Query_from_SqlServer11[[#This Row],[item_id]],7)</f>
        <v>A26-451</v>
      </c>
    </row>
    <row r="547" spans="1:6" x14ac:dyDescent="0.25">
      <c r="A547" t="s">
        <v>228</v>
      </c>
      <c r="B547">
        <v>906</v>
      </c>
      <c r="C547" s="26">
        <v>44901.591770833336</v>
      </c>
      <c r="D547">
        <v>5.23</v>
      </c>
      <c r="E547" t="s">
        <v>80</v>
      </c>
      <c r="F547" t="str">
        <f>RIGHT(Table_Query_from_SqlServer11[[#This Row],[item_id]],7)</f>
        <v>A26-451</v>
      </c>
    </row>
    <row r="548" spans="1:6" x14ac:dyDescent="0.25">
      <c r="A548" t="s">
        <v>228</v>
      </c>
      <c r="B548">
        <v>1236</v>
      </c>
      <c r="C548" s="26">
        <v>44891.440034722225</v>
      </c>
      <c r="D548">
        <v>3.49</v>
      </c>
      <c r="E548" t="s">
        <v>82</v>
      </c>
      <c r="F548" t="str">
        <f>RIGHT(Table_Query_from_SqlServer11[[#This Row],[item_id]],7)</f>
        <v>A26-451</v>
      </c>
    </row>
    <row r="549" spans="1:6" x14ac:dyDescent="0.25">
      <c r="A549" t="s">
        <v>228</v>
      </c>
      <c r="B549">
        <v>1237</v>
      </c>
      <c r="C549" s="26">
        <v>44891.440034722225</v>
      </c>
      <c r="D549">
        <v>4.08</v>
      </c>
      <c r="E549" t="s">
        <v>84</v>
      </c>
      <c r="F549" t="str">
        <f>RIGHT(Table_Query_from_SqlServer11[[#This Row],[item_id]],7)</f>
        <v>A26-451</v>
      </c>
    </row>
    <row r="550" spans="1:6" x14ac:dyDescent="0.25">
      <c r="A550" t="s">
        <v>229</v>
      </c>
      <c r="B550">
        <v>1237</v>
      </c>
      <c r="C550" s="26">
        <v>44910.577997685185</v>
      </c>
      <c r="D550">
        <v>2.56</v>
      </c>
      <c r="E550" t="s">
        <v>84</v>
      </c>
      <c r="F550" t="str">
        <f>RIGHT(Table_Query_from_SqlServer11[[#This Row],[item_id]],7)</f>
        <v>A26-452</v>
      </c>
    </row>
    <row r="551" spans="1:6" x14ac:dyDescent="0.25">
      <c r="A551" t="s">
        <v>229</v>
      </c>
      <c r="B551">
        <v>1236</v>
      </c>
      <c r="C551" s="26">
        <v>44910.5780787037</v>
      </c>
      <c r="D551">
        <v>2.2000000000000002</v>
      </c>
      <c r="E551" t="s">
        <v>82</v>
      </c>
      <c r="F551" t="str">
        <f>RIGHT(Table_Query_from_SqlServer11[[#This Row],[item_id]],7)</f>
        <v>A26-452</v>
      </c>
    </row>
    <row r="552" spans="1:6" x14ac:dyDescent="0.25">
      <c r="A552" t="s">
        <v>229</v>
      </c>
      <c r="B552">
        <v>906</v>
      </c>
      <c r="C552" s="26">
        <v>44916.445231481484</v>
      </c>
      <c r="D552">
        <v>3.89</v>
      </c>
      <c r="E552" t="s">
        <v>80</v>
      </c>
      <c r="F552" t="str">
        <f>RIGHT(Table_Query_from_SqlServer11[[#This Row],[item_id]],7)</f>
        <v>A26-452</v>
      </c>
    </row>
    <row r="553" spans="1:6" x14ac:dyDescent="0.25">
      <c r="A553" t="s">
        <v>229</v>
      </c>
      <c r="B553">
        <v>905</v>
      </c>
      <c r="C553" s="26">
        <v>44916.445370370369</v>
      </c>
      <c r="D553">
        <v>3.85</v>
      </c>
      <c r="E553" t="s">
        <v>78</v>
      </c>
      <c r="F553" t="str">
        <f>RIGHT(Table_Query_from_SqlServer11[[#This Row],[item_id]],7)</f>
        <v>A26-452</v>
      </c>
    </row>
    <row r="554" spans="1:6" x14ac:dyDescent="0.25">
      <c r="A554" t="s">
        <v>230</v>
      </c>
      <c r="B554">
        <v>905</v>
      </c>
      <c r="C554" s="26">
        <v>44943.685833333337</v>
      </c>
      <c r="D554">
        <v>5.59</v>
      </c>
      <c r="E554" t="s">
        <v>78</v>
      </c>
      <c r="F554" t="str">
        <f>RIGHT(Table_Query_from_SqlServer11[[#This Row],[item_id]],7)</f>
        <v>A26-453</v>
      </c>
    </row>
    <row r="555" spans="1:6" x14ac:dyDescent="0.25">
      <c r="A555" t="s">
        <v>230</v>
      </c>
      <c r="B555">
        <v>906</v>
      </c>
      <c r="C555" s="26">
        <v>44943.685833333337</v>
      </c>
      <c r="D555">
        <v>6.04</v>
      </c>
      <c r="E555" t="s">
        <v>80</v>
      </c>
      <c r="F555" t="str">
        <f>RIGHT(Table_Query_from_SqlServer11[[#This Row],[item_id]],7)</f>
        <v>A26-453</v>
      </c>
    </row>
    <row r="556" spans="1:6" x14ac:dyDescent="0.25">
      <c r="A556" t="s">
        <v>230</v>
      </c>
      <c r="B556">
        <v>1236</v>
      </c>
      <c r="C556" s="26">
        <v>44935.593576388892</v>
      </c>
      <c r="D556">
        <v>4.08</v>
      </c>
      <c r="E556" t="s">
        <v>82</v>
      </c>
      <c r="F556" t="str">
        <f>RIGHT(Table_Query_from_SqlServer11[[#This Row],[item_id]],7)</f>
        <v>A26-453</v>
      </c>
    </row>
    <row r="557" spans="1:6" x14ac:dyDescent="0.25">
      <c r="A557" t="s">
        <v>230</v>
      </c>
      <c r="B557">
        <v>1237</v>
      </c>
      <c r="C557" s="26">
        <v>44935.593692129631</v>
      </c>
      <c r="D557">
        <v>4.84</v>
      </c>
      <c r="E557" t="s">
        <v>84</v>
      </c>
      <c r="F557" t="str">
        <f>RIGHT(Table_Query_from_SqlServer11[[#This Row],[item_id]],7)</f>
        <v>A26-453</v>
      </c>
    </row>
    <row r="558" spans="1:6" x14ac:dyDescent="0.25">
      <c r="A558" t="s">
        <v>231</v>
      </c>
      <c r="B558">
        <v>1236</v>
      </c>
      <c r="C558" s="26">
        <v>44948.631898148145</v>
      </c>
      <c r="D558">
        <v>1.93</v>
      </c>
      <c r="E558" t="s">
        <v>82</v>
      </c>
      <c r="F558" t="str">
        <f>RIGHT(Table_Query_from_SqlServer11[[#This Row],[item_id]],7)</f>
        <v>A26-454</v>
      </c>
    </row>
    <row r="559" spans="1:6" x14ac:dyDescent="0.25">
      <c r="A559" t="s">
        <v>231</v>
      </c>
      <c r="B559">
        <v>1237</v>
      </c>
      <c r="C559" s="26">
        <v>44948.631898148145</v>
      </c>
      <c r="D559">
        <v>2.4700000000000002</v>
      </c>
      <c r="E559" t="s">
        <v>84</v>
      </c>
      <c r="F559" t="str">
        <f>RIGHT(Table_Query_from_SqlServer11[[#This Row],[item_id]],7)</f>
        <v>A26-454</v>
      </c>
    </row>
    <row r="560" spans="1:6" x14ac:dyDescent="0.25">
      <c r="A560" t="s">
        <v>231</v>
      </c>
      <c r="B560">
        <v>906</v>
      </c>
      <c r="C560" s="26">
        <v>44959.411145833335</v>
      </c>
      <c r="D560">
        <v>3.39</v>
      </c>
      <c r="E560" t="s">
        <v>80</v>
      </c>
      <c r="F560" t="str">
        <f>RIGHT(Table_Query_from_SqlServer11[[#This Row],[item_id]],7)</f>
        <v>A26-454</v>
      </c>
    </row>
    <row r="561" spans="1:6" x14ac:dyDescent="0.25">
      <c r="A561" t="s">
        <v>231</v>
      </c>
      <c r="B561">
        <v>905</v>
      </c>
      <c r="C561" s="26">
        <v>44959.410995370374</v>
      </c>
      <c r="D561">
        <v>3.46</v>
      </c>
      <c r="E561" t="s">
        <v>78</v>
      </c>
      <c r="F561" t="str">
        <f>RIGHT(Table_Query_from_SqlServer11[[#This Row],[item_id]],7)</f>
        <v>A26-454</v>
      </c>
    </row>
    <row r="562" spans="1:6" x14ac:dyDescent="0.25">
      <c r="A562" t="s">
        <v>232</v>
      </c>
      <c r="B562">
        <v>905</v>
      </c>
      <c r="C562" s="26">
        <v>44973.5628125</v>
      </c>
      <c r="D562">
        <v>4.75</v>
      </c>
      <c r="E562" t="s">
        <v>78</v>
      </c>
      <c r="F562" t="str">
        <f>RIGHT(Table_Query_from_SqlServer11[[#This Row],[item_id]],7)</f>
        <v>A26-455</v>
      </c>
    </row>
    <row r="563" spans="1:6" x14ac:dyDescent="0.25">
      <c r="A563" t="s">
        <v>232</v>
      </c>
      <c r="B563">
        <v>906</v>
      </c>
      <c r="C563" s="26">
        <v>44973.5628125</v>
      </c>
      <c r="D563">
        <v>5.35</v>
      </c>
      <c r="E563" t="s">
        <v>80</v>
      </c>
      <c r="F563" t="str">
        <f>RIGHT(Table_Query_from_SqlServer11[[#This Row],[item_id]],7)</f>
        <v>A26-455</v>
      </c>
    </row>
    <row r="564" spans="1:6" x14ac:dyDescent="0.25">
      <c r="A564" t="s">
        <v>232</v>
      </c>
      <c r="B564">
        <v>1237</v>
      </c>
      <c r="C564" s="26">
        <v>44965.594861111109</v>
      </c>
      <c r="D564">
        <v>3.91</v>
      </c>
      <c r="E564" t="s">
        <v>84</v>
      </c>
      <c r="F564" t="str">
        <f>RIGHT(Table_Query_from_SqlServer11[[#This Row],[item_id]],7)</f>
        <v>A26-455</v>
      </c>
    </row>
    <row r="565" spans="1:6" x14ac:dyDescent="0.25">
      <c r="A565" t="s">
        <v>232</v>
      </c>
      <c r="B565">
        <v>1236</v>
      </c>
      <c r="C565" s="26">
        <v>44965.594618055555</v>
      </c>
      <c r="D565">
        <v>3.31</v>
      </c>
      <c r="E565" t="s">
        <v>82</v>
      </c>
      <c r="F565" t="str">
        <f>RIGHT(Table_Query_from_SqlServer11[[#This Row],[item_id]],7)</f>
        <v>A26-455</v>
      </c>
    </row>
    <row r="566" spans="1:6" x14ac:dyDescent="0.25">
      <c r="A566" t="s">
        <v>233</v>
      </c>
      <c r="B566">
        <v>1236</v>
      </c>
      <c r="C566" s="26">
        <v>44977.588495370372</v>
      </c>
      <c r="D566">
        <v>3.39</v>
      </c>
      <c r="E566" t="s">
        <v>82</v>
      </c>
      <c r="F566" t="str">
        <f>RIGHT(Table_Query_from_SqlServer11[[#This Row],[item_id]],7)</f>
        <v>A26-456</v>
      </c>
    </row>
    <row r="567" spans="1:6" x14ac:dyDescent="0.25">
      <c r="A567" t="s">
        <v>233</v>
      </c>
      <c r="B567">
        <v>1237</v>
      </c>
      <c r="C567" s="26">
        <v>44977.588784722226</v>
      </c>
      <c r="D567">
        <v>3.88</v>
      </c>
      <c r="E567" t="s">
        <v>84</v>
      </c>
      <c r="F567" t="str">
        <f>RIGHT(Table_Query_from_SqlServer11[[#This Row],[item_id]],7)</f>
        <v>A26-456</v>
      </c>
    </row>
    <row r="568" spans="1:6" x14ac:dyDescent="0.25">
      <c r="A568" t="s">
        <v>233</v>
      </c>
      <c r="B568">
        <v>906</v>
      </c>
      <c r="C568" s="26">
        <v>44984.591805555552</v>
      </c>
      <c r="D568">
        <v>5.1100000000000003</v>
      </c>
      <c r="E568" t="s">
        <v>80</v>
      </c>
      <c r="F568" t="str">
        <f>RIGHT(Table_Query_from_SqlServer11[[#This Row],[item_id]],7)</f>
        <v>A26-456</v>
      </c>
    </row>
    <row r="569" spans="1:6" x14ac:dyDescent="0.25">
      <c r="A569" t="s">
        <v>233</v>
      </c>
      <c r="B569">
        <v>905</v>
      </c>
      <c r="C569" s="26">
        <v>44984.591793981483</v>
      </c>
      <c r="D569">
        <v>4.75</v>
      </c>
      <c r="E569" t="s">
        <v>78</v>
      </c>
      <c r="F569" t="str">
        <f>RIGHT(Table_Query_from_SqlServer11[[#This Row],[item_id]],7)</f>
        <v>A26-456</v>
      </c>
    </row>
    <row r="570" spans="1:6" x14ac:dyDescent="0.25">
      <c r="A570" t="s">
        <v>234</v>
      </c>
      <c r="B570">
        <v>905</v>
      </c>
      <c r="C570" s="26">
        <v>45013.745810185188</v>
      </c>
      <c r="D570">
        <v>5.4</v>
      </c>
      <c r="E570" t="s">
        <v>78</v>
      </c>
      <c r="F570" t="str">
        <f>RIGHT(Table_Query_from_SqlServer11[[#This Row],[item_id]],7)</f>
        <v>A26-457</v>
      </c>
    </row>
    <row r="571" spans="1:6" x14ac:dyDescent="0.25">
      <c r="A571" t="s">
        <v>234</v>
      </c>
      <c r="B571">
        <v>906</v>
      </c>
      <c r="C571" s="26">
        <v>45013.745810185188</v>
      </c>
      <c r="D571">
        <v>5.83</v>
      </c>
      <c r="E571" t="s">
        <v>80</v>
      </c>
      <c r="F571" t="str">
        <f>RIGHT(Table_Query_from_SqlServer11[[#This Row],[item_id]],7)</f>
        <v>A26-457</v>
      </c>
    </row>
    <row r="572" spans="1:6" x14ac:dyDescent="0.25">
      <c r="A572" t="s">
        <v>234</v>
      </c>
      <c r="B572">
        <v>1237</v>
      </c>
      <c r="C572" s="26">
        <v>45005.632164351853</v>
      </c>
      <c r="D572">
        <v>4.74</v>
      </c>
      <c r="E572" t="s">
        <v>84</v>
      </c>
      <c r="F572" t="str">
        <f>RIGHT(Table_Query_from_SqlServer11[[#This Row],[item_id]],7)</f>
        <v>A26-457</v>
      </c>
    </row>
    <row r="573" spans="1:6" x14ac:dyDescent="0.25">
      <c r="A573" t="s">
        <v>234</v>
      </c>
      <c r="B573">
        <v>1236</v>
      </c>
      <c r="C573" s="26">
        <v>45005.631874999999</v>
      </c>
      <c r="D573">
        <v>3.93</v>
      </c>
      <c r="E573" t="s">
        <v>82</v>
      </c>
      <c r="F573" t="str">
        <f>RIGHT(Table_Query_from_SqlServer11[[#This Row],[item_id]],7)</f>
        <v>A26-457</v>
      </c>
    </row>
    <row r="574" spans="1:6" x14ac:dyDescent="0.25">
      <c r="A574" t="s">
        <v>235</v>
      </c>
      <c r="B574">
        <v>1236</v>
      </c>
      <c r="C574" s="26">
        <v>45026.494212962964</v>
      </c>
      <c r="D574">
        <v>0.82499999999999996</v>
      </c>
      <c r="E574" t="s">
        <v>82</v>
      </c>
      <c r="F574" t="str">
        <f>RIGHT(Table_Query_from_SqlServer11[[#This Row],[item_id]],7)</f>
        <v>A26-458</v>
      </c>
    </row>
    <row r="575" spans="1:6" x14ac:dyDescent="0.25">
      <c r="A575" t="s">
        <v>235</v>
      </c>
      <c r="B575">
        <v>1237</v>
      </c>
      <c r="C575" s="26">
        <v>45026.494212962964</v>
      </c>
      <c r="D575">
        <v>0.93500000000000005</v>
      </c>
      <c r="E575" t="s">
        <v>84</v>
      </c>
      <c r="F575" t="str">
        <f>RIGHT(Table_Query_from_SqlServer11[[#This Row],[item_id]],7)</f>
        <v>A26-458</v>
      </c>
    </row>
    <row r="576" spans="1:6" x14ac:dyDescent="0.25">
      <c r="A576" t="s">
        <v>235</v>
      </c>
      <c r="B576">
        <v>906</v>
      </c>
      <c r="C576" s="26">
        <v>45047.568668981483</v>
      </c>
      <c r="D576">
        <v>5.25</v>
      </c>
      <c r="E576" t="s">
        <v>80</v>
      </c>
      <c r="F576" t="str">
        <f>RIGHT(Table_Query_from_SqlServer11[[#This Row],[item_id]],7)</f>
        <v>A26-458</v>
      </c>
    </row>
    <row r="577" spans="1:6" x14ac:dyDescent="0.25">
      <c r="A577" t="s">
        <v>235</v>
      </c>
      <c r="B577">
        <v>905</v>
      </c>
      <c r="C577" s="26">
        <v>45047.568831018521</v>
      </c>
      <c r="D577">
        <v>4.88</v>
      </c>
      <c r="E577" t="s">
        <v>78</v>
      </c>
      <c r="F577" t="str">
        <f>RIGHT(Table_Query_from_SqlServer11[[#This Row],[item_id]],7)</f>
        <v>A26-458</v>
      </c>
    </row>
    <row r="578" spans="1:6" x14ac:dyDescent="0.25">
      <c r="A578" t="s">
        <v>236</v>
      </c>
      <c r="B578">
        <v>905</v>
      </c>
      <c r="C578" s="26">
        <v>45048.325856481482</v>
      </c>
      <c r="D578">
        <v>5.15</v>
      </c>
      <c r="E578" t="s">
        <v>78</v>
      </c>
      <c r="F578" t="str">
        <f>RIGHT(Table_Query_from_SqlServer11[[#This Row],[item_id]],7)</f>
        <v>A26-459</v>
      </c>
    </row>
    <row r="579" spans="1:6" x14ac:dyDescent="0.25">
      <c r="A579" t="s">
        <v>236</v>
      </c>
      <c r="B579">
        <v>906</v>
      </c>
      <c r="C579" s="26">
        <v>45048.32608796296</v>
      </c>
      <c r="D579">
        <v>5.59</v>
      </c>
      <c r="E579" t="s">
        <v>80</v>
      </c>
      <c r="F579" t="str">
        <f>RIGHT(Table_Query_from_SqlServer11[[#This Row],[item_id]],7)</f>
        <v>A26-459</v>
      </c>
    </row>
    <row r="580" spans="1:6" x14ac:dyDescent="0.25">
      <c r="A580" t="s">
        <v>236</v>
      </c>
      <c r="B580">
        <v>1236</v>
      </c>
      <c r="C580" s="26">
        <v>45037.39267361111</v>
      </c>
      <c r="D580">
        <v>0.85599999999999998</v>
      </c>
      <c r="E580" t="s">
        <v>82</v>
      </c>
      <c r="F580" t="str">
        <f>RIGHT(Table_Query_from_SqlServer11[[#This Row],[item_id]],7)</f>
        <v>A26-459</v>
      </c>
    </row>
    <row r="581" spans="1:6" x14ac:dyDescent="0.25">
      <c r="A581" t="s">
        <v>236</v>
      </c>
      <c r="B581">
        <v>1237</v>
      </c>
      <c r="C581" s="26">
        <v>45037.39267361111</v>
      </c>
      <c r="D581">
        <v>0.98199999999999998</v>
      </c>
      <c r="E581" t="s">
        <v>84</v>
      </c>
      <c r="F581" t="str">
        <f>RIGHT(Table_Query_from_SqlServer11[[#This Row],[item_id]],7)</f>
        <v>A26-459</v>
      </c>
    </row>
    <row r="582" spans="1:6" x14ac:dyDescent="0.25">
      <c r="A582" t="s">
        <v>237</v>
      </c>
      <c r="B582">
        <v>906</v>
      </c>
      <c r="C582" s="26">
        <v>45096.425393518519</v>
      </c>
      <c r="D582">
        <v>0.33</v>
      </c>
      <c r="E582" t="s">
        <v>80</v>
      </c>
      <c r="F582" t="str">
        <f>RIGHT(Table_Query_from_SqlServer11[[#This Row],[item_id]],7)</f>
        <v>A26-463</v>
      </c>
    </row>
    <row r="583" spans="1:6" x14ac:dyDescent="0.25">
      <c r="A583" t="s">
        <v>237</v>
      </c>
      <c r="B583">
        <v>905</v>
      </c>
      <c r="C583" s="26">
        <v>45096.425393518519</v>
      </c>
      <c r="D583">
        <v>0.31</v>
      </c>
      <c r="E583" t="s">
        <v>78</v>
      </c>
      <c r="F583" t="str">
        <f>RIGHT(Table_Query_from_SqlServer11[[#This Row],[item_id]],7)</f>
        <v>A26-463</v>
      </c>
    </row>
    <row r="584" spans="1:6" x14ac:dyDescent="0.25">
      <c r="A584" t="s">
        <v>237</v>
      </c>
      <c r="B584">
        <v>1236</v>
      </c>
      <c r="C584" s="26">
        <v>45089.401423611111</v>
      </c>
      <c r="D584">
        <v>0.23</v>
      </c>
      <c r="E584" t="s">
        <v>82</v>
      </c>
      <c r="F584" t="str">
        <f>RIGHT(Table_Query_from_SqlServer11[[#This Row],[item_id]],7)</f>
        <v>A26-463</v>
      </c>
    </row>
    <row r="585" spans="1:6" x14ac:dyDescent="0.25">
      <c r="A585" t="s">
        <v>237</v>
      </c>
      <c r="B585">
        <v>1237</v>
      </c>
      <c r="C585" s="26">
        <v>45089.401423611111</v>
      </c>
      <c r="D585">
        <v>0.28000000000000003</v>
      </c>
      <c r="E585" t="s">
        <v>84</v>
      </c>
      <c r="F585" t="str">
        <f>RIGHT(Table_Query_from_SqlServer11[[#This Row],[item_id]],7)</f>
        <v>A26-463</v>
      </c>
    </row>
    <row r="586" spans="1:6" x14ac:dyDescent="0.25">
      <c r="A586" t="s">
        <v>238</v>
      </c>
      <c r="B586">
        <v>1236</v>
      </c>
      <c r="C586" s="26">
        <v>45100.317916666667</v>
      </c>
      <c r="D586">
        <v>3.43</v>
      </c>
      <c r="E586" t="s">
        <v>82</v>
      </c>
      <c r="F586" t="str">
        <f>RIGHT(Table_Query_from_SqlServer11[[#This Row],[item_id]],7)</f>
        <v>A26-464</v>
      </c>
    </row>
    <row r="587" spans="1:6" x14ac:dyDescent="0.25">
      <c r="A587" t="s">
        <v>238</v>
      </c>
      <c r="B587">
        <v>1237</v>
      </c>
      <c r="C587" s="26">
        <v>45100.317916666667</v>
      </c>
      <c r="D587">
        <v>3.98</v>
      </c>
      <c r="E587" t="s">
        <v>84</v>
      </c>
      <c r="F587" t="str">
        <f>RIGHT(Table_Query_from_SqlServer11[[#This Row],[item_id]],7)</f>
        <v>A26-464</v>
      </c>
    </row>
    <row r="588" spans="1:6" x14ac:dyDescent="0.25">
      <c r="A588" t="s">
        <v>238</v>
      </c>
      <c r="B588">
        <v>905</v>
      </c>
      <c r="C588" s="26">
        <v>45110.456064814818</v>
      </c>
      <c r="D588">
        <v>5.19</v>
      </c>
      <c r="E588" t="s">
        <v>78</v>
      </c>
      <c r="F588" t="str">
        <f>RIGHT(Table_Query_from_SqlServer11[[#This Row],[item_id]],7)</f>
        <v>A26-464</v>
      </c>
    </row>
    <row r="589" spans="1:6" x14ac:dyDescent="0.25">
      <c r="A589" t="s">
        <v>238</v>
      </c>
      <c r="B589">
        <v>906</v>
      </c>
      <c r="C589" s="26">
        <v>45110.456157407411</v>
      </c>
      <c r="D589">
        <v>5.43</v>
      </c>
      <c r="E589" t="s">
        <v>80</v>
      </c>
      <c r="F589" t="str">
        <f>RIGHT(Table_Query_from_SqlServer11[[#This Row],[item_id]],7)</f>
        <v>A26-464</v>
      </c>
    </row>
    <row r="590" spans="1:6" x14ac:dyDescent="0.25">
      <c r="A590" t="s">
        <v>239</v>
      </c>
      <c r="B590">
        <v>906</v>
      </c>
      <c r="C590" s="26">
        <v>45131.404120370367</v>
      </c>
      <c r="D590">
        <v>5.17</v>
      </c>
      <c r="E590" t="s">
        <v>80</v>
      </c>
      <c r="F590" t="str">
        <f>RIGHT(Table_Query_from_SqlServer11[[#This Row],[item_id]],7)</f>
        <v>A26-465</v>
      </c>
    </row>
    <row r="591" spans="1:6" x14ac:dyDescent="0.25">
      <c r="A591" t="s">
        <v>239</v>
      </c>
      <c r="B591">
        <v>905</v>
      </c>
      <c r="C591" s="26">
        <v>45131.404120370367</v>
      </c>
      <c r="D591">
        <v>4.62</v>
      </c>
      <c r="E591" t="s">
        <v>78</v>
      </c>
      <c r="F591" t="str">
        <f>RIGHT(Table_Query_from_SqlServer11[[#This Row],[item_id]],7)</f>
        <v>A26-465</v>
      </c>
    </row>
    <row r="592" spans="1:6" x14ac:dyDescent="0.25">
      <c r="A592" t="s">
        <v>239</v>
      </c>
      <c r="B592">
        <v>1236</v>
      </c>
      <c r="C592" s="26">
        <v>45121.364537037036</v>
      </c>
      <c r="D592">
        <v>3.44</v>
      </c>
      <c r="E592" t="s">
        <v>82</v>
      </c>
      <c r="F592" t="str">
        <f>RIGHT(Table_Query_from_SqlServer11[[#This Row],[item_id]],7)</f>
        <v>A26-465</v>
      </c>
    </row>
    <row r="593" spans="1:6" x14ac:dyDescent="0.25">
      <c r="A593" t="s">
        <v>239</v>
      </c>
      <c r="B593">
        <v>1237</v>
      </c>
      <c r="C593" s="26">
        <v>45121.364537037036</v>
      </c>
      <c r="D593">
        <v>3.78</v>
      </c>
      <c r="E593" t="s">
        <v>84</v>
      </c>
      <c r="F593" t="str">
        <f>RIGHT(Table_Query_from_SqlServer11[[#This Row],[item_id]],7)</f>
        <v>A26-465</v>
      </c>
    </row>
    <row r="594" spans="1:6" x14ac:dyDescent="0.25">
      <c r="A594" t="s">
        <v>240</v>
      </c>
      <c r="B594">
        <v>1236</v>
      </c>
      <c r="C594" s="26">
        <v>45138.553530092591</v>
      </c>
      <c r="D594">
        <v>3.67</v>
      </c>
      <c r="E594" t="s">
        <v>82</v>
      </c>
      <c r="F594" t="str">
        <f>RIGHT(Table_Query_from_SqlServer11[[#This Row],[item_id]],7)</f>
        <v>A26-466</v>
      </c>
    </row>
    <row r="595" spans="1:6" x14ac:dyDescent="0.25">
      <c r="A595" t="s">
        <v>240</v>
      </c>
      <c r="B595">
        <v>1237</v>
      </c>
      <c r="C595" s="26">
        <v>45138.553530092591</v>
      </c>
      <c r="D595">
        <v>4.17</v>
      </c>
      <c r="E595" t="s">
        <v>84</v>
      </c>
      <c r="F595" t="str">
        <f>RIGHT(Table_Query_from_SqlServer11[[#This Row],[item_id]],7)</f>
        <v>A26-466</v>
      </c>
    </row>
    <row r="596" spans="1:6" x14ac:dyDescent="0.25">
      <c r="A596" t="s">
        <v>240</v>
      </c>
      <c r="B596">
        <v>905</v>
      </c>
      <c r="C596" s="26">
        <v>45146.29791666667</v>
      </c>
      <c r="D596">
        <v>4.66</v>
      </c>
      <c r="E596" t="s">
        <v>78</v>
      </c>
      <c r="F596" t="str">
        <f>RIGHT(Table_Query_from_SqlServer11[[#This Row],[item_id]],7)</f>
        <v>A26-466</v>
      </c>
    </row>
    <row r="597" spans="1:6" x14ac:dyDescent="0.25">
      <c r="A597" t="s">
        <v>240</v>
      </c>
      <c r="B597">
        <v>906</v>
      </c>
      <c r="C597" s="26">
        <v>45146.298090277778</v>
      </c>
      <c r="D597">
        <v>5.07</v>
      </c>
      <c r="E597" t="s">
        <v>80</v>
      </c>
      <c r="F597" t="str">
        <f>RIGHT(Table_Query_from_SqlServer11[[#This Row],[item_id]],7)</f>
        <v>A26-466</v>
      </c>
    </row>
    <row r="598" spans="1:6" x14ac:dyDescent="0.25">
      <c r="A598" t="s">
        <v>241</v>
      </c>
      <c r="B598">
        <v>906</v>
      </c>
      <c r="C598" s="26">
        <v>45232.356319444443</v>
      </c>
      <c r="D598">
        <v>0.1</v>
      </c>
      <c r="E598" t="s">
        <v>80</v>
      </c>
      <c r="F598" t="str">
        <f>RIGHT(Table_Query_from_SqlServer11[[#This Row],[item_id]],7)</f>
        <v>A26-471</v>
      </c>
    </row>
    <row r="599" spans="1:6" x14ac:dyDescent="0.25">
      <c r="A599" t="s">
        <v>241</v>
      </c>
      <c r="B599">
        <v>905</v>
      </c>
      <c r="C599" s="26">
        <v>45232.35597222222</v>
      </c>
      <c r="D599">
        <v>0.19</v>
      </c>
      <c r="E599" t="s">
        <v>78</v>
      </c>
      <c r="F599" t="str">
        <f>RIGHT(Table_Query_from_SqlServer11[[#This Row],[item_id]],7)</f>
        <v>A26-471</v>
      </c>
    </row>
    <row r="600" spans="1:6" x14ac:dyDescent="0.25">
      <c r="A600" t="s">
        <v>241</v>
      </c>
      <c r="B600">
        <v>1237</v>
      </c>
      <c r="C600" s="26">
        <v>45225.295706018522</v>
      </c>
      <c r="D600">
        <v>0.11</v>
      </c>
      <c r="E600" t="s">
        <v>84</v>
      </c>
      <c r="F600" t="str">
        <f>RIGHT(Table_Query_from_SqlServer11[[#This Row],[item_id]],7)</f>
        <v>A26-471</v>
      </c>
    </row>
    <row r="601" spans="1:6" x14ac:dyDescent="0.25">
      <c r="A601" t="s">
        <v>241</v>
      </c>
      <c r="B601">
        <v>1236</v>
      </c>
      <c r="C601" s="26">
        <v>45225.295289351852</v>
      </c>
      <c r="D601">
        <v>0.12</v>
      </c>
      <c r="E601" t="s">
        <v>82</v>
      </c>
      <c r="F601" t="str">
        <f>RIGHT(Table_Query_from_SqlServer11[[#This Row],[item_id]],7)</f>
        <v>A26-471</v>
      </c>
    </row>
    <row r="602" spans="1:6" x14ac:dyDescent="0.25">
      <c r="A602" t="s">
        <v>242</v>
      </c>
      <c r="B602">
        <v>1236</v>
      </c>
      <c r="C602" s="26">
        <v>45235.45784722222</v>
      </c>
      <c r="D602">
        <v>3.56</v>
      </c>
      <c r="E602" t="s">
        <v>82</v>
      </c>
      <c r="F602" t="str">
        <f>RIGHT(Table_Query_from_SqlServer11[[#This Row],[item_id]],7)</f>
        <v>A26-472</v>
      </c>
    </row>
    <row r="603" spans="1:6" x14ac:dyDescent="0.25">
      <c r="A603" t="s">
        <v>242</v>
      </c>
      <c r="B603">
        <v>1237</v>
      </c>
      <c r="C603" s="26">
        <v>45235.45784722222</v>
      </c>
      <c r="D603">
        <v>4.04</v>
      </c>
      <c r="E603" t="s">
        <v>84</v>
      </c>
      <c r="F603" t="str">
        <f>RIGHT(Table_Query_from_SqlServer11[[#This Row],[item_id]],7)</f>
        <v>A26-472</v>
      </c>
    </row>
    <row r="604" spans="1:6" x14ac:dyDescent="0.25">
      <c r="A604" t="s">
        <v>242</v>
      </c>
      <c r="B604">
        <v>905</v>
      </c>
      <c r="C604" s="26">
        <v>45244.362511574072</v>
      </c>
      <c r="D604">
        <v>4.8</v>
      </c>
      <c r="E604" t="s">
        <v>78</v>
      </c>
      <c r="F604" t="str">
        <f>RIGHT(Table_Query_from_SqlServer11[[#This Row],[item_id]],7)</f>
        <v>A26-472</v>
      </c>
    </row>
    <row r="605" spans="1:6" x14ac:dyDescent="0.25">
      <c r="A605" t="s">
        <v>242</v>
      </c>
      <c r="B605">
        <v>906</v>
      </c>
      <c r="C605" s="26">
        <v>45244.362511574072</v>
      </c>
      <c r="D605">
        <v>5.61</v>
      </c>
      <c r="E605" t="s">
        <v>80</v>
      </c>
      <c r="F605" t="str">
        <f>RIGHT(Table_Query_from_SqlServer11[[#This Row],[item_id]],7)</f>
        <v>A26-472</v>
      </c>
    </row>
    <row r="606" spans="1:6" x14ac:dyDescent="0.25">
      <c r="A606" t="s">
        <v>243</v>
      </c>
      <c r="B606">
        <v>905</v>
      </c>
      <c r="C606" s="26">
        <v>45271.49590277778</v>
      </c>
      <c r="D606">
        <v>1.33</v>
      </c>
      <c r="E606" t="s">
        <v>78</v>
      </c>
      <c r="F606" t="str">
        <f>RIGHT(Table_Query_from_SqlServer11[[#This Row],[item_id]],7)</f>
        <v>A26-473</v>
      </c>
    </row>
    <row r="607" spans="1:6" x14ac:dyDescent="0.25">
      <c r="A607" t="s">
        <v>243</v>
      </c>
      <c r="B607">
        <v>906</v>
      </c>
      <c r="C607" s="26">
        <v>45271.49590277778</v>
      </c>
      <c r="D607">
        <v>1.4</v>
      </c>
      <c r="E607" t="s">
        <v>80</v>
      </c>
      <c r="F607" t="str">
        <f>RIGHT(Table_Query_from_SqlServer11[[#This Row],[item_id]],7)</f>
        <v>A26-473</v>
      </c>
    </row>
    <row r="608" spans="1:6" x14ac:dyDescent="0.25">
      <c r="A608" t="s">
        <v>243</v>
      </c>
      <c r="B608">
        <v>1236</v>
      </c>
      <c r="C608" s="26">
        <v>45246.343854166669</v>
      </c>
      <c r="D608">
        <v>0.65</v>
      </c>
      <c r="E608" t="s">
        <v>82</v>
      </c>
      <c r="F608" t="str">
        <f>RIGHT(Table_Query_from_SqlServer11[[#This Row],[item_id]],7)</f>
        <v>A26-473</v>
      </c>
    </row>
    <row r="609" spans="1:6" x14ac:dyDescent="0.25">
      <c r="A609" t="s">
        <v>243</v>
      </c>
      <c r="B609">
        <v>1237</v>
      </c>
      <c r="C609" s="26">
        <v>45246.343854166669</v>
      </c>
      <c r="D609">
        <v>0.74</v>
      </c>
      <c r="E609" t="s">
        <v>84</v>
      </c>
      <c r="F609" t="str">
        <f>RIGHT(Table_Query_from_SqlServer11[[#This Row],[item_id]],7)</f>
        <v>A26-473</v>
      </c>
    </row>
    <row r="610" spans="1:6" x14ac:dyDescent="0.25">
      <c r="A610" t="s">
        <v>243</v>
      </c>
      <c r="B610">
        <v>1236</v>
      </c>
      <c r="C610" s="26">
        <v>45246.343854166669</v>
      </c>
      <c r="D610">
        <v>0.65</v>
      </c>
      <c r="E610" t="s">
        <v>82</v>
      </c>
      <c r="F610" t="str">
        <f>RIGHT(Table_Query_from_SqlServer11[[#This Row],[item_id]],7)</f>
        <v>A26-473</v>
      </c>
    </row>
    <row r="611" spans="1:6" x14ac:dyDescent="0.25">
      <c r="A611" t="s">
        <v>243</v>
      </c>
      <c r="B611">
        <v>1237</v>
      </c>
      <c r="C611" s="26">
        <v>45246.343854166669</v>
      </c>
      <c r="D611">
        <v>0.74</v>
      </c>
      <c r="E611" t="s">
        <v>84</v>
      </c>
      <c r="F611" t="str">
        <f>RIGHT(Table_Query_from_SqlServer11[[#This Row],[item_id]],7)</f>
        <v>A26-473</v>
      </c>
    </row>
    <row r="612" spans="1:6" x14ac:dyDescent="0.25">
      <c r="A612" t="s">
        <v>244</v>
      </c>
      <c r="B612">
        <v>1236</v>
      </c>
      <c r="C612" s="26">
        <v>45261.434479166666</v>
      </c>
      <c r="D612">
        <v>3.47</v>
      </c>
      <c r="E612" t="s">
        <v>82</v>
      </c>
      <c r="F612" t="str">
        <f>RIGHT(Table_Query_from_SqlServer11[[#This Row],[item_id]],7)</f>
        <v>A26-474</v>
      </c>
    </row>
    <row r="613" spans="1:6" x14ac:dyDescent="0.25">
      <c r="A613" t="s">
        <v>244</v>
      </c>
      <c r="B613">
        <v>1237</v>
      </c>
      <c r="C613" s="26">
        <v>45261.434594907405</v>
      </c>
      <c r="D613">
        <v>3.99</v>
      </c>
      <c r="E613" t="s">
        <v>84</v>
      </c>
      <c r="F613" t="str">
        <f>RIGHT(Table_Query_from_SqlServer11[[#This Row],[item_id]],7)</f>
        <v>A26-474</v>
      </c>
    </row>
    <row r="614" spans="1:6" x14ac:dyDescent="0.25">
      <c r="A614" t="s">
        <v>244</v>
      </c>
      <c r="B614">
        <v>905</v>
      </c>
      <c r="C614" s="26">
        <v>45271.466979166667</v>
      </c>
      <c r="D614">
        <v>4.75</v>
      </c>
      <c r="E614" t="s">
        <v>78</v>
      </c>
      <c r="F614" t="str">
        <f>RIGHT(Table_Query_from_SqlServer11[[#This Row],[item_id]],7)</f>
        <v>A26-474</v>
      </c>
    </row>
    <row r="615" spans="1:6" x14ac:dyDescent="0.25">
      <c r="A615" t="s">
        <v>244</v>
      </c>
      <c r="B615">
        <v>906</v>
      </c>
      <c r="C615" s="26">
        <v>45271.467118055552</v>
      </c>
      <c r="D615">
        <v>5.12</v>
      </c>
      <c r="E615" t="s">
        <v>80</v>
      </c>
      <c r="F615" t="str">
        <f>RIGHT(Table_Query_from_SqlServer11[[#This Row],[item_id]],7)</f>
        <v>A26-474</v>
      </c>
    </row>
    <row r="616" spans="1:6" x14ac:dyDescent="0.25">
      <c r="A616" t="s">
        <v>245</v>
      </c>
      <c r="B616">
        <v>906</v>
      </c>
      <c r="C616" s="26">
        <v>45281.445763888885</v>
      </c>
      <c r="D616">
        <v>0.67</v>
      </c>
      <c r="E616" t="s">
        <v>80</v>
      </c>
      <c r="F616" t="str">
        <f>RIGHT(Table_Query_from_SqlServer11[[#This Row],[item_id]],7)</f>
        <v>A26-475</v>
      </c>
    </row>
    <row r="617" spans="1:6" x14ac:dyDescent="0.25">
      <c r="A617" t="s">
        <v>245</v>
      </c>
      <c r="B617">
        <v>905</v>
      </c>
      <c r="C617" s="26">
        <v>45281.445763888885</v>
      </c>
      <c r="D617">
        <v>0.65</v>
      </c>
      <c r="E617" t="s">
        <v>78</v>
      </c>
      <c r="F617" t="str">
        <f>RIGHT(Table_Query_from_SqlServer11[[#This Row],[item_id]],7)</f>
        <v>A26-475</v>
      </c>
    </row>
    <row r="618" spans="1:6" x14ac:dyDescent="0.25">
      <c r="A618" t="s">
        <v>245</v>
      </c>
      <c r="B618">
        <v>1236</v>
      </c>
      <c r="C618" s="26">
        <v>45274.645381944443</v>
      </c>
      <c r="D618">
        <v>0.35</v>
      </c>
      <c r="E618" t="s">
        <v>82</v>
      </c>
      <c r="F618" t="str">
        <f>RIGHT(Table_Query_from_SqlServer11[[#This Row],[item_id]],7)</f>
        <v>A26-475</v>
      </c>
    </row>
    <row r="619" spans="1:6" x14ac:dyDescent="0.25">
      <c r="A619" t="s">
        <v>245</v>
      </c>
      <c r="B619">
        <v>1237</v>
      </c>
      <c r="C619" s="26">
        <v>45274.645381944443</v>
      </c>
      <c r="D619">
        <v>0.4</v>
      </c>
      <c r="E619" t="s">
        <v>84</v>
      </c>
      <c r="F619" t="str">
        <f>RIGHT(Table_Query_from_SqlServer11[[#This Row],[item_id]],7)</f>
        <v>A26-475</v>
      </c>
    </row>
    <row r="620" spans="1:6" x14ac:dyDescent="0.25">
      <c r="A620" t="s">
        <v>246</v>
      </c>
      <c r="B620">
        <v>1236</v>
      </c>
      <c r="C620" s="26">
        <v>45299.405613425923</v>
      </c>
      <c r="D620">
        <v>0.28999999999999998</v>
      </c>
      <c r="E620" t="s">
        <v>82</v>
      </c>
      <c r="F620" t="str">
        <f>RIGHT(Table_Query_from_SqlServer11[[#This Row],[item_id]],7)</f>
        <v>A26-476</v>
      </c>
    </row>
    <row r="621" spans="1:6" x14ac:dyDescent="0.25">
      <c r="A621" t="s">
        <v>246</v>
      </c>
      <c r="B621">
        <v>1237</v>
      </c>
      <c r="C621" s="26">
        <v>45299.405694444446</v>
      </c>
      <c r="D621">
        <v>0.41</v>
      </c>
      <c r="E621" t="s">
        <v>84</v>
      </c>
      <c r="F621" t="str">
        <f>RIGHT(Table_Query_from_SqlServer11[[#This Row],[item_id]],7)</f>
        <v>A26-476</v>
      </c>
    </row>
    <row r="622" spans="1:6" x14ac:dyDescent="0.25">
      <c r="A622" t="s">
        <v>246</v>
      </c>
      <c r="B622">
        <v>906</v>
      </c>
      <c r="C622" s="26">
        <v>45307.306238425925</v>
      </c>
      <c r="D622">
        <v>0.57999999999999996</v>
      </c>
      <c r="E622" t="s">
        <v>80</v>
      </c>
      <c r="F622" t="str">
        <f>RIGHT(Table_Query_from_SqlServer11[[#This Row],[item_id]],7)</f>
        <v>A26-476</v>
      </c>
    </row>
    <row r="623" spans="1:6" x14ac:dyDescent="0.25">
      <c r="A623" t="s">
        <v>246</v>
      </c>
      <c r="B623">
        <v>905</v>
      </c>
      <c r="C623" s="26">
        <v>45307.306238425925</v>
      </c>
      <c r="D623">
        <v>0.67</v>
      </c>
      <c r="E623" t="s">
        <v>78</v>
      </c>
      <c r="F623" t="str">
        <f>RIGHT(Table_Query_from_SqlServer11[[#This Row],[item_id]],7)</f>
        <v>A26-476</v>
      </c>
    </row>
    <row r="624" spans="1:6" x14ac:dyDescent="0.25">
      <c r="A624" t="s">
        <v>247</v>
      </c>
      <c r="B624">
        <v>905</v>
      </c>
      <c r="C624" s="26">
        <v>45320.308969907404</v>
      </c>
      <c r="D624">
        <v>4.72</v>
      </c>
      <c r="E624" t="s">
        <v>78</v>
      </c>
      <c r="F624" t="str">
        <f>RIGHT(Table_Query_from_SqlServer11[[#This Row],[item_id]],7)</f>
        <v>A26-477</v>
      </c>
    </row>
    <row r="625" spans="1:6" x14ac:dyDescent="0.25">
      <c r="A625" t="s">
        <v>247</v>
      </c>
      <c r="B625">
        <v>906</v>
      </c>
      <c r="C625" s="26">
        <v>45320.308969907404</v>
      </c>
      <c r="D625">
        <v>5.22</v>
      </c>
      <c r="E625" t="s">
        <v>80</v>
      </c>
      <c r="F625" t="str">
        <f>RIGHT(Table_Query_from_SqlServer11[[#This Row],[item_id]],7)</f>
        <v>A26-477</v>
      </c>
    </row>
    <row r="626" spans="1:6" x14ac:dyDescent="0.25">
      <c r="A626" t="s">
        <v>247</v>
      </c>
      <c r="B626">
        <v>1236</v>
      </c>
      <c r="C626" s="26">
        <v>45312.7424537037</v>
      </c>
      <c r="D626">
        <v>3.6</v>
      </c>
      <c r="E626" t="s">
        <v>82</v>
      </c>
      <c r="F626" t="str">
        <f>RIGHT(Table_Query_from_SqlServer11[[#This Row],[item_id]],7)</f>
        <v>A26-477</v>
      </c>
    </row>
    <row r="627" spans="1:6" x14ac:dyDescent="0.25">
      <c r="A627" t="s">
        <v>247</v>
      </c>
      <c r="B627">
        <v>1237</v>
      </c>
      <c r="C627" s="26">
        <v>45312.7424537037</v>
      </c>
      <c r="D627">
        <v>4.1900000000000004</v>
      </c>
      <c r="E627" t="s">
        <v>84</v>
      </c>
      <c r="F627" t="str">
        <f>RIGHT(Table_Query_from_SqlServer11[[#This Row],[item_id]],7)</f>
        <v>A26-477</v>
      </c>
    </row>
    <row r="628" spans="1:6" x14ac:dyDescent="0.25">
      <c r="A628" t="s">
        <v>248</v>
      </c>
      <c r="B628">
        <v>1236</v>
      </c>
      <c r="C628" s="26">
        <v>45341.278287037036</v>
      </c>
      <c r="D628">
        <v>3.32</v>
      </c>
      <c r="E628" t="s">
        <v>82</v>
      </c>
      <c r="F628" t="str">
        <f>RIGHT(Table_Query_from_SqlServer11[[#This Row],[item_id]],7)</f>
        <v>A26-478</v>
      </c>
    </row>
    <row r="629" spans="1:6" x14ac:dyDescent="0.25">
      <c r="A629" t="s">
        <v>248</v>
      </c>
      <c r="B629">
        <v>1237</v>
      </c>
      <c r="C629" s="26">
        <v>45341.278287037036</v>
      </c>
      <c r="D629">
        <v>3.63</v>
      </c>
      <c r="E629" t="s">
        <v>84</v>
      </c>
      <c r="F629" t="str">
        <f>RIGHT(Table_Query_from_SqlServer11[[#This Row],[item_id]],7)</f>
        <v>A26-478</v>
      </c>
    </row>
    <row r="630" spans="1:6" x14ac:dyDescent="0.25">
      <c r="A630" t="s">
        <v>248</v>
      </c>
      <c r="B630">
        <v>906</v>
      </c>
      <c r="C630" s="26">
        <v>45349.548090277778</v>
      </c>
      <c r="D630">
        <v>5.48</v>
      </c>
      <c r="E630" t="s">
        <v>80</v>
      </c>
      <c r="F630" t="str">
        <f>RIGHT(Table_Query_from_SqlServer11[[#This Row],[item_id]],7)</f>
        <v>A26-478</v>
      </c>
    </row>
    <row r="631" spans="1:6" x14ac:dyDescent="0.25">
      <c r="A631" t="s">
        <v>248</v>
      </c>
      <c r="B631">
        <v>905</v>
      </c>
      <c r="C631" s="26">
        <v>45349.547962962963</v>
      </c>
      <c r="D631">
        <v>4.92</v>
      </c>
      <c r="E631" t="s">
        <v>78</v>
      </c>
      <c r="F631" t="str">
        <f>RIGHT(Table_Query_from_SqlServer11[[#This Row],[item_id]],7)</f>
        <v>A26-478</v>
      </c>
    </row>
    <row r="632" spans="1:6" x14ac:dyDescent="0.25">
      <c r="A632" t="s">
        <v>249</v>
      </c>
      <c r="B632">
        <v>905</v>
      </c>
      <c r="C632" s="26">
        <v>45357.492754629631</v>
      </c>
      <c r="D632">
        <v>5.54</v>
      </c>
      <c r="E632" t="s">
        <v>78</v>
      </c>
      <c r="F632" t="str">
        <f>RIGHT(Table_Query_from_SqlServer11[[#This Row],[item_id]],7)</f>
        <v>A26-479</v>
      </c>
    </row>
    <row r="633" spans="1:6" x14ac:dyDescent="0.25">
      <c r="A633" t="s">
        <v>249</v>
      </c>
      <c r="B633">
        <v>906</v>
      </c>
      <c r="C633" s="26">
        <v>45357.493090277778</v>
      </c>
      <c r="D633">
        <v>5.83</v>
      </c>
      <c r="E633" t="s">
        <v>80</v>
      </c>
      <c r="F633" t="str">
        <f>RIGHT(Table_Query_from_SqlServer11[[#This Row],[item_id]],7)</f>
        <v>A26-479</v>
      </c>
    </row>
    <row r="634" spans="1:6" x14ac:dyDescent="0.25">
      <c r="A634" t="s">
        <v>249</v>
      </c>
      <c r="B634">
        <v>1236</v>
      </c>
      <c r="C634" s="26">
        <v>45350.494513888887</v>
      </c>
      <c r="D634">
        <v>3.91</v>
      </c>
      <c r="E634" t="s">
        <v>82</v>
      </c>
      <c r="F634" t="str">
        <f>RIGHT(Table_Query_from_SqlServer11[[#This Row],[item_id]],7)</f>
        <v>A26-479</v>
      </c>
    </row>
    <row r="635" spans="1:6" x14ac:dyDescent="0.25">
      <c r="A635" t="s">
        <v>249</v>
      </c>
      <c r="B635">
        <v>1237</v>
      </c>
      <c r="C635" s="26">
        <v>45350.494780092595</v>
      </c>
      <c r="D635">
        <v>4.75</v>
      </c>
      <c r="E635" t="s">
        <v>84</v>
      </c>
      <c r="F635" t="str">
        <f>RIGHT(Table_Query_from_SqlServer11[[#This Row],[item_id]],7)</f>
        <v>A26-479</v>
      </c>
    </row>
    <row r="636" spans="1:6" x14ac:dyDescent="0.25">
      <c r="A636" t="s">
        <v>250</v>
      </c>
      <c r="B636">
        <v>1236</v>
      </c>
      <c r="C636" s="26">
        <v>45367.625231481485</v>
      </c>
      <c r="D636">
        <v>3.6</v>
      </c>
      <c r="E636" t="s">
        <v>82</v>
      </c>
      <c r="F636" t="str">
        <f>RIGHT(Table_Query_from_SqlServer11[[#This Row],[item_id]],7)</f>
        <v>A26-480</v>
      </c>
    </row>
    <row r="637" spans="1:6" x14ac:dyDescent="0.25">
      <c r="A637" t="s">
        <v>250</v>
      </c>
      <c r="B637">
        <v>1237</v>
      </c>
      <c r="C637" s="26">
        <v>45367.625231481485</v>
      </c>
      <c r="D637">
        <v>3.84</v>
      </c>
      <c r="E637" t="s">
        <v>84</v>
      </c>
      <c r="F637" t="str">
        <f>RIGHT(Table_Query_from_SqlServer11[[#This Row],[item_id]],7)</f>
        <v>A26-480</v>
      </c>
    </row>
    <row r="638" spans="1:6" x14ac:dyDescent="0.25">
      <c r="A638" t="s">
        <v>250</v>
      </c>
      <c r="B638">
        <v>906</v>
      </c>
      <c r="C638" s="26">
        <v>45377.404120370367</v>
      </c>
      <c r="D638">
        <v>5.46</v>
      </c>
      <c r="E638" t="s">
        <v>80</v>
      </c>
      <c r="F638" t="str">
        <f>RIGHT(Table_Query_from_SqlServer11[[#This Row],[item_id]],7)</f>
        <v>A26-480</v>
      </c>
    </row>
    <row r="639" spans="1:6" x14ac:dyDescent="0.25">
      <c r="A639" t="s">
        <v>250</v>
      </c>
      <c r="B639">
        <v>905</v>
      </c>
      <c r="C639" s="26">
        <v>45377.403865740744</v>
      </c>
      <c r="D639">
        <v>4.87</v>
      </c>
      <c r="E639" t="s">
        <v>78</v>
      </c>
      <c r="F639" t="str">
        <f>RIGHT(Table_Query_from_SqlServer11[[#This Row],[item_id]],7)</f>
        <v>A26-480</v>
      </c>
    </row>
    <row r="640" spans="1:6" x14ac:dyDescent="0.25">
      <c r="A640" t="s">
        <v>251</v>
      </c>
      <c r="B640">
        <v>905</v>
      </c>
      <c r="C640" s="26">
        <v>45386.489803240744</v>
      </c>
      <c r="D640">
        <v>4.96</v>
      </c>
      <c r="E640" t="s">
        <v>78</v>
      </c>
      <c r="F640" t="str">
        <f>RIGHT(Table_Query_from_SqlServer11[[#This Row],[item_id]],7)</f>
        <v>A26-481</v>
      </c>
    </row>
    <row r="641" spans="1:6" x14ac:dyDescent="0.25">
      <c r="A641" t="s">
        <v>251</v>
      </c>
      <c r="B641">
        <v>1236</v>
      </c>
      <c r="C641" s="26">
        <v>45379.373831018522</v>
      </c>
      <c r="D641">
        <v>3.41</v>
      </c>
      <c r="E641" t="s">
        <v>82</v>
      </c>
      <c r="F641" t="str">
        <f>RIGHT(Table_Query_from_SqlServer11[[#This Row],[item_id]],7)</f>
        <v>A26-481</v>
      </c>
    </row>
    <row r="642" spans="1:6" x14ac:dyDescent="0.25">
      <c r="A642" t="s">
        <v>251</v>
      </c>
      <c r="B642">
        <v>906</v>
      </c>
      <c r="C642" s="26">
        <v>45386.489988425928</v>
      </c>
      <c r="D642">
        <v>5.26</v>
      </c>
      <c r="E642" t="s">
        <v>80</v>
      </c>
      <c r="F642" t="str">
        <f>RIGHT(Table_Query_from_SqlServer11[[#This Row],[item_id]],7)</f>
        <v>A26-481</v>
      </c>
    </row>
    <row r="643" spans="1:6" x14ac:dyDescent="0.25">
      <c r="A643" t="s">
        <v>251</v>
      </c>
      <c r="B643">
        <v>1237</v>
      </c>
      <c r="C643" s="26">
        <v>45379.374328703707</v>
      </c>
      <c r="D643">
        <v>4.09</v>
      </c>
      <c r="E643" t="s">
        <v>84</v>
      </c>
      <c r="F643" t="str">
        <f>RIGHT(Table_Query_from_SqlServer11[[#This Row],[item_id]],7)</f>
        <v>A26-481</v>
      </c>
    </row>
    <row r="644" spans="1:6" x14ac:dyDescent="0.25">
      <c r="A644" t="s">
        <v>252</v>
      </c>
      <c r="B644">
        <v>1237</v>
      </c>
      <c r="C644" s="26">
        <v>45400.395497685182</v>
      </c>
      <c r="D644">
        <v>4.16</v>
      </c>
      <c r="E644" t="s">
        <v>84</v>
      </c>
      <c r="F644" t="str">
        <f>RIGHT(Table_Query_from_SqlServer11[[#This Row],[item_id]],7)</f>
        <v>A26-482</v>
      </c>
    </row>
    <row r="645" spans="1:6" x14ac:dyDescent="0.25">
      <c r="A645" t="s">
        <v>252</v>
      </c>
      <c r="B645">
        <v>1236</v>
      </c>
      <c r="C645" s="26">
        <v>45400.395266203705</v>
      </c>
      <c r="D645">
        <v>3.41</v>
      </c>
      <c r="E645" t="s">
        <v>82</v>
      </c>
      <c r="F645" t="str">
        <f>RIGHT(Table_Query_from_SqlServer11[[#This Row],[item_id]],7)</f>
        <v>A26-482</v>
      </c>
    </row>
    <row r="646" spans="1:6" x14ac:dyDescent="0.25">
      <c r="A646" t="s">
        <v>252</v>
      </c>
      <c r="B646">
        <v>906</v>
      </c>
      <c r="C646" s="26">
        <v>45407.376168981478</v>
      </c>
      <c r="D646">
        <v>5.64</v>
      </c>
      <c r="E646" t="s">
        <v>80</v>
      </c>
      <c r="F646" t="str">
        <f>RIGHT(Table_Query_from_SqlServer11[[#This Row],[item_id]],7)</f>
        <v>A26-482</v>
      </c>
    </row>
    <row r="647" spans="1:6" x14ac:dyDescent="0.25">
      <c r="A647" t="s">
        <v>252</v>
      </c>
      <c r="B647">
        <v>905</v>
      </c>
      <c r="C647" s="26">
        <v>45407.375324074077</v>
      </c>
      <c r="D647">
        <v>4.93</v>
      </c>
      <c r="E647" t="s">
        <v>78</v>
      </c>
      <c r="F647" t="str">
        <f>RIGHT(Table_Query_from_SqlServer11[[#This Row],[item_id]],7)</f>
        <v>A26-482</v>
      </c>
    </row>
    <row r="648" spans="1:6" x14ac:dyDescent="0.25">
      <c r="A648" t="s">
        <v>253</v>
      </c>
      <c r="B648">
        <v>905</v>
      </c>
      <c r="C648" s="26">
        <v>45414.366724537038</v>
      </c>
      <c r="D648">
        <v>4.84</v>
      </c>
      <c r="E648" t="s">
        <v>78</v>
      </c>
      <c r="F648" t="str">
        <f>RIGHT(Table_Query_from_SqlServer11[[#This Row],[item_id]],7)</f>
        <v>A26-483</v>
      </c>
    </row>
    <row r="649" spans="1:6" x14ac:dyDescent="0.25">
      <c r="A649" t="s">
        <v>253</v>
      </c>
      <c r="B649">
        <v>906</v>
      </c>
      <c r="C649" s="26">
        <v>45414.366979166669</v>
      </c>
      <c r="D649">
        <v>5.55</v>
      </c>
      <c r="E649" t="s">
        <v>80</v>
      </c>
      <c r="F649" t="str">
        <f>RIGHT(Table_Query_from_SqlServer11[[#This Row],[item_id]],7)</f>
        <v>A26-483</v>
      </c>
    </row>
    <row r="650" spans="1:6" x14ac:dyDescent="0.25">
      <c r="A650" t="s">
        <v>253</v>
      </c>
      <c r="B650">
        <v>1237</v>
      </c>
      <c r="C650" s="26">
        <v>45407.374409722222</v>
      </c>
      <c r="D650">
        <v>4.0199999999999996</v>
      </c>
      <c r="E650" t="s">
        <v>84</v>
      </c>
      <c r="F650" t="str">
        <f>RIGHT(Table_Query_from_SqlServer11[[#This Row],[item_id]],7)</f>
        <v>A26-483</v>
      </c>
    </row>
    <row r="651" spans="1:6" x14ac:dyDescent="0.25">
      <c r="A651" t="s">
        <v>253</v>
      </c>
      <c r="B651">
        <v>1236</v>
      </c>
      <c r="C651" s="26">
        <v>45407.374120370368</v>
      </c>
      <c r="D651">
        <v>3.44</v>
      </c>
      <c r="E651" t="s">
        <v>82</v>
      </c>
      <c r="F651" t="str">
        <f>RIGHT(Table_Query_from_SqlServer11[[#This Row],[item_id]],7)</f>
        <v>A26-483</v>
      </c>
    </row>
    <row r="652" spans="1:6" x14ac:dyDescent="0.25">
      <c r="A652" t="s">
        <v>254</v>
      </c>
      <c r="B652">
        <v>1236</v>
      </c>
      <c r="C652" s="26">
        <v>45506.586099537039</v>
      </c>
      <c r="D652">
        <v>4.12</v>
      </c>
      <c r="E652" t="s">
        <v>82</v>
      </c>
      <c r="F652" t="str">
        <f>RIGHT(Table_Query_from_SqlServer11[[#This Row],[item_id]],7)</f>
        <v>A26-488</v>
      </c>
    </row>
    <row r="653" spans="1:6" x14ac:dyDescent="0.25">
      <c r="A653" t="s">
        <v>254</v>
      </c>
      <c r="B653">
        <v>1237</v>
      </c>
      <c r="C653" s="26">
        <v>45506.586099537039</v>
      </c>
      <c r="D653">
        <v>4.5999999999999996</v>
      </c>
      <c r="E653" t="s">
        <v>84</v>
      </c>
      <c r="F653" t="str">
        <f>RIGHT(Table_Query_from_SqlServer11[[#This Row],[item_id]],7)</f>
        <v>A26-488</v>
      </c>
    </row>
    <row r="654" spans="1:6" x14ac:dyDescent="0.25">
      <c r="A654" t="s">
        <v>254</v>
      </c>
      <c r="B654">
        <v>906</v>
      </c>
      <c r="C654" s="26">
        <v>45520.38380787037</v>
      </c>
      <c r="D654">
        <v>5.62</v>
      </c>
      <c r="E654" t="s">
        <v>80</v>
      </c>
      <c r="F654" t="str">
        <f>RIGHT(Table_Query_from_SqlServer11[[#This Row],[item_id]],7)</f>
        <v>A26-488</v>
      </c>
    </row>
    <row r="655" spans="1:6" x14ac:dyDescent="0.25">
      <c r="A655" t="s">
        <v>254</v>
      </c>
      <c r="B655">
        <v>905</v>
      </c>
      <c r="C655" s="26">
        <v>45520.383425925924</v>
      </c>
      <c r="D655">
        <v>5</v>
      </c>
      <c r="E655" t="s">
        <v>78</v>
      </c>
      <c r="F655" t="str">
        <f>RIGHT(Table_Query_from_SqlServer11[[#This Row],[item_id]],7)</f>
        <v>A26-488</v>
      </c>
    </row>
    <row r="656" spans="1:6" x14ac:dyDescent="0.25">
      <c r="A656" t="s">
        <v>255</v>
      </c>
      <c r="B656">
        <v>905</v>
      </c>
      <c r="C656" s="26">
        <v>45530.71565972222</v>
      </c>
      <c r="D656">
        <v>4.55</v>
      </c>
      <c r="E656" t="s">
        <v>78</v>
      </c>
      <c r="F656" t="str">
        <f>RIGHT(Table_Query_from_SqlServer11[[#This Row],[item_id]],7)</f>
        <v>A26-489</v>
      </c>
    </row>
    <row r="657" spans="1:6" x14ac:dyDescent="0.25">
      <c r="A657" t="s">
        <v>255</v>
      </c>
      <c r="B657">
        <v>1237</v>
      </c>
      <c r="C657" s="26">
        <v>45518.415312500001</v>
      </c>
      <c r="D657">
        <v>3.98</v>
      </c>
      <c r="E657" t="s">
        <v>84</v>
      </c>
      <c r="F657" t="str">
        <f>RIGHT(Table_Query_from_SqlServer11[[#This Row],[item_id]],7)</f>
        <v>A26-489</v>
      </c>
    </row>
    <row r="658" spans="1:6" x14ac:dyDescent="0.25">
      <c r="A658" t="s">
        <v>255</v>
      </c>
      <c r="B658">
        <v>1236</v>
      </c>
      <c r="C658" s="26">
        <v>45518.415023148147</v>
      </c>
      <c r="D658">
        <v>4.37</v>
      </c>
      <c r="E658" t="s">
        <v>82</v>
      </c>
      <c r="F658" t="str">
        <f>RIGHT(Table_Query_from_SqlServer11[[#This Row],[item_id]],7)</f>
        <v>A26-489</v>
      </c>
    </row>
    <row r="659" spans="1:6" x14ac:dyDescent="0.25">
      <c r="A659" t="s">
        <v>255</v>
      </c>
      <c r="B659">
        <v>906</v>
      </c>
      <c r="C659" s="26">
        <v>45530.71565972222</v>
      </c>
      <c r="D659">
        <v>4.71</v>
      </c>
      <c r="E659" t="s">
        <v>80</v>
      </c>
      <c r="F659" t="str">
        <f>RIGHT(Table_Query_from_SqlServer11[[#This Row],[item_id]],7)</f>
        <v>A26-489</v>
      </c>
    </row>
    <row r="660" spans="1:6" x14ac:dyDescent="0.25">
      <c r="A660" t="s">
        <v>256</v>
      </c>
      <c r="B660">
        <v>1236</v>
      </c>
      <c r="C660" s="26">
        <v>45552.570069444446</v>
      </c>
      <c r="D660">
        <v>3.27</v>
      </c>
      <c r="E660" t="s">
        <v>82</v>
      </c>
      <c r="F660" t="str">
        <f>RIGHT(Table_Query_from_SqlServer11[[#This Row],[item_id]],7)</f>
        <v>A26-490</v>
      </c>
    </row>
    <row r="661" spans="1:6" x14ac:dyDescent="0.25">
      <c r="A661" t="s">
        <v>256</v>
      </c>
      <c r="B661">
        <v>1237</v>
      </c>
      <c r="C661" s="26">
        <v>45552.570069444446</v>
      </c>
      <c r="D661">
        <v>4.05</v>
      </c>
      <c r="E661" t="s">
        <v>84</v>
      </c>
      <c r="F661" t="str">
        <f>RIGHT(Table_Query_from_SqlServer11[[#This Row],[item_id]],7)</f>
        <v>A26-490</v>
      </c>
    </row>
    <row r="662" spans="1:6" x14ac:dyDescent="0.25">
      <c r="A662" t="s">
        <v>256</v>
      </c>
      <c r="B662">
        <v>906</v>
      </c>
      <c r="C662" s="26">
        <v>45561.411504629628</v>
      </c>
      <c r="D662">
        <v>5.14</v>
      </c>
      <c r="E662" t="s">
        <v>80</v>
      </c>
      <c r="F662" t="str">
        <f>RIGHT(Table_Query_from_SqlServer11[[#This Row],[item_id]],7)</f>
        <v>A26-490</v>
      </c>
    </row>
    <row r="663" spans="1:6" x14ac:dyDescent="0.25">
      <c r="A663" t="s">
        <v>256</v>
      </c>
      <c r="B663">
        <v>905</v>
      </c>
      <c r="C663" s="26">
        <v>45561.411226851851</v>
      </c>
      <c r="D663">
        <v>4.4800000000000004</v>
      </c>
      <c r="E663" t="s">
        <v>78</v>
      </c>
      <c r="F663" t="str">
        <f>RIGHT(Table_Query_from_SqlServer11[[#This Row],[item_id]],7)</f>
        <v>A26-490</v>
      </c>
    </row>
    <row r="664" spans="1:6" x14ac:dyDescent="0.25">
      <c r="A664" t="s">
        <v>257</v>
      </c>
      <c r="B664">
        <v>905</v>
      </c>
      <c r="C664" s="26">
        <v>45575.686342592591</v>
      </c>
      <c r="D664">
        <v>5.52</v>
      </c>
      <c r="E664" t="s">
        <v>78</v>
      </c>
      <c r="F664" t="str">
        <f>RIGHT(Table_Query_from_SqlServer11[[#This Row],[item_id]],7)</f>
        <v>A26-491</v>
      </c>
    </row>
    <row r="665" spans="1:6" x14ac:dyDescent="0.25">
      <c r="A665" t="s">
        <v>257</v>
      </c>
      <c r="B665">
        <v>906</v>
      </c>
      <c r="C665" s="26">
        <v>45575.686342592591</v>
      </c>
      <c r="D665">
        <v>5.72</v>
      </c>
      <c r="E665" t="s">
        <v>80</v>
      </c>
      <c r="F665" t="str">
        <f>RIGHT(Table_Query_from_SqlServer11[[#This Row],[item_id]],7)</f>
        <v>A26-491</v>
      </c>
    </row>
    <row r="666" spans="1:6" x14ac:dyDescent="0.25">
      <c r="A666" t="s">
        <v>257</v>
      </c>
      <c r="B666">
        <v>1236</v>
      </c>
      <c r="C666" s="26">
        <v>45568.763495370367</v>
      </c>
      <c r="D666">
        <v>4.2300000000000004</v>
      </c>
      <c r="E666" t="s">
        <v>82</v>
      </c>
      <c r="F666" t="str">
        <f>RIGHT(Table_Query_from_SqlServer11[[#This Row],[item_id]],7)</f>
        <v>A26-491</v>
      </c>
    </row>
    <row r="667" spans="1:6" x14ac:dyDescent="0.25">
      <c r="A667" t="s">
        <v>257</v>
      </c>
      <c r="B667">
        <v>1237</v>
      </c>
      <c r="C667" s="26">
        <v>45568.763495370367</v>
      </c>
      <c r="D667">
        <v>4.95</v>
      </c>
      <c r="E667" t="s">
        <v>84</v>
      </c>
      <c r="F667" t="str">
        <f>RIGHT(Table_Query_from_SqlServer11[[#This Row],[item_id]],7)</f>
        <v>A26-491</v>
      </c>
    </row>
    <row r="668" spans="1:6" x14ac:dyDescent="0.25">
      <c r="A668" t="s">
        <v>258</v>
      </c>
      <c r="B668">
        <v>1236</v>
      </c>
      <c r="C668" s="26">
        <v>45587.3828587963</v>
      </c>
      <c r="D668">
        <v>0.33</v>
      </c>
      <c r="E668" t="s">
        <v>82</v>
      </c>
      <c r="F668" t="str">
        <f>RIGHT(Table_Query_from_SqlServer11[[#This Row],[item_id]],7)</f>
        <v>A26-492</v>
      </c>
    </row>
    <row r="669" spans="1:6" x14ac:dyDescent="0.25">
      <c r="A669" t="s">
        <v>258</v>
      </c>
      <c r="B669">
        <v>1237</v>
      </c>
      <c r="C669" s="26">
        <v>45587.3828587963</v>
      </c>
      <c r="D669">
        <v>0.37</v>
      </c>
      <c r="E669" t="s">
        <v>84</v>
      </c>
      <c r="F669" t="str">
        <f>RIGHT(Table_Query_from_SqlServer11[[#This Row],[item_id]],7)</f>
        <v>A26-492</v>
      </c>
    </row>
    <row r="670" spans="1:6" x14ac:dyDescent="0.25">
      <c r="A670" t="s">
        <v>258</v>
      </c>
      <c r="B670">
        <v>906</v>
      </c>
      <c r="C670" s="26">
        <v>45593.65185185185</v>
      </c>
      <c r="D670">
        <v>0.54</v>
      </c>
      <c r="E670" t="s">
        <v>80</v>
      </c>
      <c r="F670" t="str">
        <f>RIGHT(Table_Query_from_SqlServer11[[#This Row],[item_id]],7)</f>
        <v>A26-492</v>
      </c>
    </row>
    <row r="671" spans="1:6" x14ac:dyDescent="0.25">
      <c r="A671" t="s">
        <v>258</v>
      </c>
      <c r="B671">
        <v>905</v>
      </c>
      <c r="C671" s="26">
        <v>45593.65185185185</v>
      </c>
      <c r="D671">
        <v>0.56000000000000005</v>
      </c>
      <c r="E671" t="s">
        <v>78</v>
      </c>
      <c r="F671" t="str">
        <f>RIGHT(Table_Query_from_SqlServer11[[#This Row],[item_id]],7)</f>
        <v>A26-492</v>
      </c>
    </row>
    <row r="672" spans="1:6" x14ac:dyDescent="0.25">
      <c r="A672" t="s">
        <v>259</v>
      </c>
      <c r="B672">
        <v>905</v>
      </c>
      <c r="C672" s="26">
        <v>45601.85796296296</v>
      </c>
      <c r="D672">
        <v>5.15</v>
      </c>
      <c r="E672" t="s">
        <v>78</v>
      </c>
      <c r="F672" t="str">
        <f>RIGHT(Table_Query_from_SqlServer11[[#This Row],[item_id]],7)</f>
        <v>A26-493</v>
      </c>
    </row>
    <row r="673" spans="1:6" x14ac:dyDescent="0.25">
      <c r="A673" t="s">
        <v>259</v>
      </c>
      <c r="B673">
        <v>906</v>
      </c>
      <c r="C673" s="26">
        <v>45601.85796296296</v>
      </c>
      <c r="D673">
        <v>5.96</v>
      </c>
      <c r="E673" t="s">
        <v>80</v>
      </c>
      <c r="F673" t="str">
        <f>RIGHT(Table_Query_from_SqlServer11[[#This Row],[item_id]],7)</f>
        <v>A26-493</v>
      </c>
    </row>
    <row r="674" spans="1:6" x14ac:dyDescent="0.25">
      <c r="A674" t="s">
        <v>259</v>
      </c>
      <c r="B674">
        <v>1236</v>
      </c>
      <c r="C674" s="26">
        <v>45592.330891203703</v>
      </c>
      <c r="D674">
        <v>4.12</v>
      </c>
      <c r="E674" t="s">
        <v>82</v>
      </c>
      <c r="F674" t="str">
        <f>RIGHT(Table_Query_from_SqlServer11[[#This Row],[item_id]],7)</f>
        <v>A26-493</v>
      </c>
    </row>
    <row r="675" spans="1:6" x14ac:dyDescent="0.25">
      <c r="A675" t="s">
        <v>259</v>
      </c>
      <c r="B675">
        <v>1237</v>
      </c>
      <c r="C675" s="26">
        <v>45592.330891203703</v>
      </c>
      <c r="D675">
        <v>4.38</v>
      </c>
      <c r="E675" t="s">
        <v>84</v>
      </c>
      <c r="F675" t="str">
        <f>RIGHT(Table_Query_from_SqlServer11[[#This Row],[item_id]],7)</f>
        <v>A26-493</v>
      </c>
    </row>
    <row r="676" spans="1:6" x14ac:dyDescent="0.25">
      <c r="A676" t="s">
        <v>260</v>
      </c>
      <c r="B676">
        <v>1236</v>
      </c>
      <c r="C676" s="26">
        <v>45608.746261574073</v>
      </c>
      <c r="D676">
        <v>3.42</v>
      </c>
      <c r="E676" t="s">
        <v>82</v>
      </c>
      <c r="F676" t="str">
        <f>RIGHT(Table_Query_from_SqlServer11[[#This Row],[item_id]],7)</f>
        <v>A26-494</v>
      </c>
    </row>
    <row r="677" spans="1:6" x14ac:dyDescent="0.25">
      <c r="A677" t="s">
        <v>260</v>
      </c>
      <c r="B677">
        <v>1237</v>
      </c>
      <c r="C677" s="26">
        <v>45608.746261574073</v>
      </c>
      <c r="D677">
        <v>4.13</v>
      </c>
      <c r="E677" t="s">
        <v>84</v>
      </c>
      <c r="F677" t="str">
        <f>RIGHT(Table_Query_from_SqlServer11[[#This Row],[item_id]],7)</f>
        <v>A26-494</v>
      </c>
    </row>
    <row r="678" spans="1:6" x14ac:dyDescent="0.25">
      <c r="A678" t="s">
        <v>260</v>
      </c>
      <c r="B678">
        <v>906</v>
      </c>
      <c r="C678" s="26">
        <v>45621.748541666668</v>
      </c>
      <c r="D678">
        <v>5.22</v>
      </c>
      <c r="E678" t="s">
        <v>80</v>
      </c>
      <c r="F678" t="str">
        <f>RIGHT(Table_Query_from_SqlServer11[[#This Row],[item_id]],7)</f>
        <v>A26-494</v>
      </c>
    </row>
    <row r="679" spans="1:6" x14ac:dyDescent="0.25">
      <c r="A679" t="s">
        <v>260</v>
      </c>
      <c r="B679">
        <v>905</v>
      </c>
      <c r="C679" s="26">
        <v>45621.748541666668</v>
      </c>
      <c r="D679">
        <v>4.62</v>
      </c>
      <c r="E679" t="s">
        <v>78</v>
      </c>
      <c r="F679" t="str">
        <f>RIGHT(Table_Query_from_SqlServer11[[#This Row],[item_id]],7)</f>
        <v>A26-494</v>
      </c>
    </row>
    <row r="680" spans="1:6" x14ac:dyDescent="0.25">
      <c r="A680" t="s">
        <v>261</v>
      </c>
      <c r="B680">
        <v>905</v>
      </c>
      <c r="C680" s="26">
        <v>45679.451747685183</v>
      </c>
      <c r="D680">
        <v>4.3499999999999996</v>
      </c>
      <c r="E680" t="s">
        <v>78</v>
      </c>
      <c r="F680" t="str">
        <f>RIGHT(Table_Query_from_SqlServer11[[#This Row],[item_id]],7)</f>
        <v>A26-495</v>
      </c>
    </row>
    <row r="681" spans="1:6" x14ac:dyDescent="0.25">
      <c r="A681" t="s">
        <v>261</v>
      </c>
      <c r="B681">
        <v>906</v>
      </c>
      <c r="C681" s="26">
        <v>45679.451840277776</v>
      </c>
      <c r="D681">
        <v>4.3499999999999996</v>
      </c>
      <c r="E681" t="s">
        <v>80</v>
      </c>
      <c r="F681" t="str">
        <f>RIGHT(Table_Query_from_SqlServer11[[#This Row],[item_id]],7)</f>
        <v>A26-495</v>
      </c>
    </row>
    <row r="682" spans="1:6" x14ac:dyDescent="0.25">
      <c r="A682" t="s">
        <v>261</v>
      </c>
      <c r="B682">
        <v>1236</v>
      </c>
      <c r="C682" s="26">
        <v>45633.250798611109</v>
      </c>
      <c r="D682">
        <v>2.92</v>
      </c>
      <c r="E682" t="s">
        <v>82</v>
      </c>
      <c r="F682" t="str">
        <f>RIGHT(Table_Query_from_SqlServer11[[#This Row],[item_id]],7)</f>
        <v>A26-495</v>
      </c>
    </row>
    <row r="683" spans="1:6" x14ac:dyDescent="0.25">
      <c r="A683" t="s">
        <v>261</v>
      </c>
      <c r="B683">
        <v>1237</v>
      </c>
      <c r="C683" s="26">
        <v>45633.250902777778</v>
      </c>
      <c r="D683">
        <v>2.99</v>
      </c>
      <c r="E683" t="s">
        <v>84</v>
      </c>
      <c r="F683" t="str">
        <f>RIGHT(Table_Query_from_SqlServer11[[#This Row],[item_id]],7)</f>
        <v>A26-495</v>
      </c>
    </row>
    <row r="684" spans="1:6" x14ac:dyDescent="0.25">
      <c r="A684" t="s">
        <v>261</v>
      </c>
      <c r="B684">
        <v>1236</v>
      </c>
      <c r="C684" s="26">
        <v>45633.250798611109</v>
      </c>
      <c r="D684">
        <v>2.92</v>
      </c>
      <c r="E684" t="s">
        <v>82</v>
      </c>
      <c r="F684" t="str">
        <f>RIGHT(Table_Query_from_SqlServer11[[#This Row],[item_id]],7)</f>
        <v>A26-495</v>
      </c>
    </row>
    <row r="685" spans="1:6" x14ac:dyDescent="0.25">
      <c r="A685" t="s">
        <v>261</v>
      </c>
      <c r="B685">
        <v>1237</v>
      </c>
      <c r="C685" s="26">
        <v>45633.250902777778</v>
      </c>
      <c r="D685">
        <v>2.99</v>
      </c>
      <c r="E685" t="s">
        <v>84</v>
      </c>
      <c r="F685" t="str">
        <f>RIGHT(Table_Query_from_SqlServer11[[#This Row],[item_id]],7)</f>
        <v>A26-495</v>
      </c>
    </row>
    <row r="686" spans="1:6" x14ac:dyDescent="0.25">
      <c r="A686" t="s">
        <v>262</v>
      </c>
      <c r="B686">
        <v>1236</v>
      </c>
      <c r="C686" s="26">
        <v>45679.457094907404</v>
      </c>
      <c r="D686">
        <v>3.25</v>
      </c>
      <c r="E686" t="s">
        <v>82</v>
      </c>
      <c r="F686" t="str">
        <f>RIGHT(Table_Query_from_SqlServer11[[#This Row],[item_id]],7)</f>
        <v>A26-496</v>
      </c>
    </row>
    <row r="687" spans="1:6" x14ac:dyDescent="0.25">
      <c r="A687" t="s">
        <v>262</v>
      </c>
      <c r="B687">
        <v>1237</v>
      </c>
      <c r="C687" s="26">
        <v>45679.457245370373</v>
      </c>
      <c r="D687">
        <v>3.83</v>
      </c>
      <c r="E687" t="s">
        <v>84</v>
      </c>
      <c r="F687" t="str">
        <f>RIGHT(Table_Query_from_SqlServer11[[#This Row],[item_id]],7)</f>
        <v>A26-496</v>
      </c>
    </row>
    <row r="688" spans="1:6" x14ac:dyDescent="0.25">
      <c r="A688" t="s">
        <v>262</v>
      </c>
      <c r="B688">
        <v>906</v>
      </c>
      <c r="C688" s="26">
        <v>45688.474432870367</v>
      </c>
      <c r="D688">
        <v>5.23</v>
      </c>
      <c r="E688" t="s">
        <v>80</v>
      </c>
      <c r="F688" t="str">
        <f>RIGHT(Table_Query_from_SqlServer11[[#This Row],[item_id]],7)</f>
        <v>A26-496</v>
      </c>
    </row>
    <row r="689" spans="1:6" x14ac:dyDescent="0.25">
      <c r="A689" t="s">
        <v>262</v>
      </c>
      <c r="B689">
        <v>905</v>
      </c>
      <c r="C689" s="26">
        <v>45688.474224537036</v>
      </c>
      <c r="D689">
        <v>4.63</v>
      </c>
      <c r="E689" t="s">
        <v>78</v>
      </c>
      <c r="F689" t="str">
        <f>RIGHT(Table_Query_from_SqlServer11[[#This Row],[item_id]],7)</f>
        <v>A26-496</v>
      </c>
    </row>
    <row r="690" spans="1:6" x14ac:dyDescent="0.25">
      <c r="A690" t="s">
        <v>263</v>
      </c>
      <c r="B690">
        <v>905</v>
      </c>
      <c r="C690" s="26">
        <v>45721.300671296296</v>
      </c>
      <c r="D690">
        <v>4.7300000000000004</v>
      </c>
      <c r="E690" t="s">
        <v>78</v>
      </c>
      <c r="F690" t="str">
        <f>RIGHT(Table_Query_from_SqlServer11[[#This Row],[item_id]],7)</f>
        <v>A26-497</v>
      </c>
    </row>
    <row r="691" spans="1:6" x14ac:dyDescent="0.25">
      <c r="A691" t="s">
        <v>263</v>
      </c>
      <c r="B691">
        <v>906</v>
      </c>
      <c r="C691" s="26">
        <v>45721.30097222222</v>
      </c>
      <c r="D691">
        <v>5.36</v>
      </c>
      <c r="E691" t="s">
        <v>80</v>
      </c>
      <c r="F691" t="str">
        <f>RIGHT(Table_Query_from_SqlServer11[[#This Row],[item_id]],7)</f>
        <v>A26-497</v>
      </c>
    </row>
    <row r="692" spans="1:6" x14ac:dyDescent="0.25">
      <c r="A692" t="s">
        <v>263</v>
      </c>
      <c r="B692">
        <v>1236</v>
      </c>
      <c r="C692" s="26">
        <v>45710.566099537034</v>
      </c>
      <c r="D692">
        <v>3.31</v>
      </c>
      <c r="E692" t="s">
        <v>82</v>
      </c>
      <c r="F692" t="str">
        <f>RIGHT(Table_Query_from_SqlServer11[[#This Row],[item_id]],7)</f>
        <v>A26-497</v>
      </c>
    </row>
    <row r="693" spans="1:6" x14ac:dyDescent="0.25">
      <c r="A693" t="s">
        <v>263</v>
      </c>
      <c r="B693">
        <v>1237</v>
      </c>
      <c r="C693" s="26">
        <v>45710.566099537034</v>
      </c>
      <c r="D693">
        <v>3.73</v>
      </c>
      <c r="E693" t="s">
        <v>84</v>
      </c>
      <c r="F693" t="str">
        <f>RIGHT(Table_Query_from_SqlServer11[[#This Row],[item_id]],7)</f>
        <v>A26-497</v>
      </c>
    </row>
    <row r="694" spans="1:6" x14ac:dyDescent="0.25">
      <c r="A694" t="s">
        <v>264</v>
      </c>
      <c r="B694">
        <v>1236</v>
      </c>
      <c r="C694" s="26">
        <v>45718.501273148147</v>
      </c>
      <c r="D694">
        <v>3.38</v>
      </c>
      <c r="E694" t="s">
        <v>82</v>
      </c>
      <c r="F694" t="str">
        <f>RIGHT(Table_Query_from_SqlServer11[[#This Row],[item_id]],7)</f>
        <v>A26-498</v>
      </c>
    </row>
    <row r="695" spans="1:6" x14ac:dyDescent="0.25">
      <c r="A695" t="s">
        <v>264</v>
      </c>
      <c r="B695">
        <v>1237</v>
      </c>
      <c r="C695" s="26">
        <v>45718.501273148147</v>
      </c>
      <c r="D695">
        <v>3.77</v>
      </c>
      <c r="E695" t="s">
        <v>84</v>
      </c>
      <c r="F695" t="str">
        <f>RIGHT(Table_Query_from_SqlServer11[[#This Row],[item_id]],7)</f>
        <v>A26-498</v>
      </c>
    </row>
    <row r="696" spans="1:6" x14ac:dyDescent="0.25">
      <c r="A696" t="s">
        <v>264</v>
      </c>
      <c r="B696">
        <v>906</v>
      </c>
      <c r="C696" s="26">
        <v>45727.787222222221</v>
      </c>
      <c r="D696">
        <v>4.91</v>
      </c>
      <c r="E696" t="s">
        <v>80</v>
      </c>
      <c r="F696" t="str">
        <f>RIGHT(Table_Query_from_SqlServer11[[#This Row],[item_id]],7)</f>
        <v>A26-498</v>
      </c>
    </row>
    <row r="697" spans="1:6" x14ac:dyDescent="0.25">
      <c r="A697" t="s">
        <v>264</v>
      </c>
      <c r="B697">
        <v>905</v>
      </c>
      <c r="C697" s="26">
        <v>45727.787222222221</v>
      </c>
      <c r="D697">
        <v>4.67</v>
      </c>
      <c r="E697" t="s">
        <v>78</v>
      </c>
      <c r="F697" t="str">
        <f>RIGHT(Table_Query_from_SqlServer11[[#This Row],[item_id]],7)</f>
        <v>A26-498</v>
      </c>
    </row>
    <row r="698" spans="1:6" x14ac:dyDescent="0.25">
      <c r="A698" t="s">
        <v>265</v>
      </c>
      <c r="B698">
        <v>905</v>
      </c>
      <c r="C698" s="26">
        <v>45742.297766203701</v>
      </c>
      <c r="D698">
        <v>0.68</v>
      </c>
      <c r="E698" t="s">
        <v>78</v>
      </c>
      <c r="F698" t="str">
        <f>RIGHT(Table_Query_from_SqlServer11[[#This Row],[item_id]],7)</f>
        <v>A26-499</v>
      </c>
    </row>
    <row r="699" spans="1:6" x14ac:dyDescent="0.25">
      <c r="A699" t="s">
        <v>265</v>
      </c>
      <c r="B699">
        <v>906</v>
      </c>
      <c r="C699" s="26">
        <v>45742.297847222224</v>
      </c>
      <c r="D699">
        <v>0.67</v>
      </c>
      <c r="E699" t="s">
        <v>80</v>
      </c>
      <c r="F699" t="str">
        <f>RIGHT(Table_Query_from_SqlServer11[[#This Row],[item_id]],7)</f>
        <v>A26-499</v>
      </c>
    </row>
    <row r="700" spans="1:6" x14ac:dyDescent="0.25">
      <c r="A700" t="s">
        <v>265</v>
      </c>
      <c r="B700">
        <v>1236</v>
      </c>
      <c r="C700" s="26">
        <v>45734.385196759256</v>
      </c>
      <c r="D700">
        <v>0.36</v>
      </c>
      <c r="E700" t="s">
        <v>82</v>
      </c>
      <c r="F700" t="str">
        <f>RIGHT(Table_Query_from_SqlServer11[[#This Row],[item_id]],7)</f>
        <v>A26-499</v>
      </c>
    </row>
    <row r="701" spans="1:6" x14ac:dyDescent="0.25">
      <c r="A701" t="s">
        <v>265</v>
      </c>
      <c r="B701">
        <v>1237</v>
      </c>
      <c r="C701" s="26">
        <v>45734.385289351849</v>
      </c>
      <c r="D701">
        <v>0.43</v>
      </c>
      <c r="E701" t="s">
        <v>84</v>
      </c>
      <c r="F701" t="str">
        <f>RIGHT(Table_Query_from_SqlServer11[[#This Row],[item_id]],7)</f>
        <v>A26-499</v>
      </c>
    </row>
    <row r="702" spans="1:6" x14ac:dyDescent="0.25">
      <c r="A702" t="s">
        <v>266</v>
      </c>
      <c r="B702">
        <v>1236</v>
      </c>
      <c r="C702" s="26">
        <v>45756.304120370369</v>
      </c>
      <c r="D702">
        <v>3.43</v>
      </c>
      <c r="E702" t="s">
        <v>82</v>
      </c>
      <c r="F702" t="str">
        <f>RIGHT(Table_Query_from_SqlServer11[[#This Row],[item_id]],7)</f>
        <v>A26-500</v>
      </c>
    </row>
    <row r="703" spans="1:6" x14ac:dyDescent="0.25">
      <c r="A703" t="s">
        <v>266</v>
      </c>
      <c r="B703">
        <v>1237</v>
      </c>
      <c r="C703" s="26">
        <v>45756.304398148146</v>
      </c>
      <c r="D703">
        <v>4.13</v>
      </c>
      <c r="E703" t="s">
        <v>84</v>
      </c>
      <c r="F703" t="str">
        <f>RIGHT(Table_Query_from_SqlServer11[[#This Row],[item_id]],7)</f>
        <v>A26-500</v>
      </c>
    </row>
    <row r="704" spans="1:6" x14ac:dyDescent="0.25">
      <c r="A704" t="s">
        <v>266</v>
      </c>
      <c r="B704">
        <v>906</v>
      </c>
      <c r="C704" s="26">
        <v>45765.383263888885</v>
      </c>
      <c r="D704">
        <v>4.96</v>
      </c>
      <c r="E704" t="s">
        <v>80</v>
      </c>
      <c r="F704" t="str">
        <f>RIGHT(Table_Query_from_SqlServer11[[#This Row],[item_id]],7)</f>
        <v>A26-500</v>
      </c>
    </row>
    <row r="705" spans="1:6" x14ac:dyDescent="0.25">
      <c r="A705" t="s">
        <v>266</v>
      </c>
      <c r="B705">
        <v>905</v>
      </c>
      <c r="C705" s="26">
        <v>45765.382974537039</v>
      </c>
      <c r="D705">
        <v>4.6399999999999997</v>
      </c>
      <c r="E705" t="s">
        <v>78</v>
      </c>
      <c r="F705" t="str">
        <f>RIGHT(Table_Query_from_SqlServer11[[#This Row],[item_id]],7)</f>
        <v>A26-500</v>
      </c>
    </row>
    <row r="706" spans="1:6" x14ac:dyDescent="0.25">
      <c r="A706" t="s">
        <v>267</v>
      </c>
      <c r="B706">
        <v>905</v>
      </c>
      <c r="C706" s="26">
        <v>45774.320243055554</v>
      </c>
      <c r="D706">
        <v>0.62</v>
      </c>
      <c r="E706" t="s">
        <v>78</v>
      </c>
      <c r="F706" t="str">
        <f>RIGHT(Table_Query_from_SqlServer11[[#This Row],[item_id]],7)</f>
        <v>A26-501</v>
      </c>
    </row>
    <row r="707" spans="1:6" x14ac:dyDescent="0.25">
      <c r="A707" t="s">
        <v>267</v>
      </c>
      <c r="B707">
        <v>906</v>
      </c>
      <c r="C707" s="26">
        <v>45774.320254629631</v>
      </c>
      <c r="D707">
        <v>0.61</v>
      </c>
      <c r="E707" t="s">
        <v>80</v>
      </c>
      <c r="F707" t="str">
        <f>RIGHT(Table_Query_from_SqlServer11[[#This Row],[item_id]],7)</f>
        <v>A26-501</v>
      </c>
    </row>
    <row r="708" spans="1:6" x14ac:dyDescent="0.25">
      <c r="A708" t="s">
        <v>267</v>
      </c>
      <c r="B708">
        <v>1236</v>
      </c>
      <c r="C708" s="26">
        <v>45761.554085648146</v>
      </c>
      <c r="D708">
        <v>0.32</v>
      </c>
      <c r="E708" t="s">
        <v>82</v>
      </c>
      <c r="F708" t="str">
        <f>RIGHT(Table_Query_from_SqlServer11[[#This Row],[item_id]],7)</f>
        <v>A26-501</v>
      </c>
    </row>
    <row r="709" spans="1:6" x14ac:dyDescent="0.25">
      <c r="A709" t="s">
        <v>267</v>
      </c>
      <c r="B709">
        <v>1237</v>
      </c>
      <c r="C709" s="26">
        <v>45761.554131944446</v>
      </c>
      <c r="D709">
        <v>0.39</v>
      </c>
      <c r="E709" t="s">
        <v>84</v>
      </c>
      <c r="F709" t="str">
        <f>RIGHT(Table_Query_from_SqlServer11[[#This Row],[item_id]],7)</f>
        <v>A26-501</v>
      </c>
    </row>
    <row r="710" spans="1:6" x14ac:dyDescent="0.25">
      <c r="A710" t="s">
        <v>268</v>
      </c>
      <c r="B710">
        <v>1236</v>
      </c>
      <c r="C710" s="26">
        <v>45788.600381944445</v>
      </c>
      <c r="D710">
        <v>3.3</v>
      </c>
      <c r="E710" t="s">
        <v>82</v>
      </c>
      <c r="F710" t="str">
        <f>RIGHT(Table_Query_from_SqlServer11[[#This Row],[item_id]],7)</f>
        <v>A26-502</v>
      </c>
    </row>
    <row r="711" spans="1:6" x14ac:dyDescent="0.25">
      <c r="A711" t="s">
        <v>268</v>
      </c>
      <c r="B711">
        <v>1237</v>
      </c>
      <c r="C711" s="26">
        <v>45788.600381944445</v>
      </c>
      <c r="D711">
        <v>4.17</v>
      </c>
      <c r="E711" t="s">
        <v>84</v>
      </c>
      <c r="F711" t="str">
        <f>RIGHT(Table_Query_from_SqlServer11[[#This Row],[item_id]],7)</f>
        <v>A26-502</v>
      </c>
    </row>
    <row r="712" spans="1:6" x14ac:dyDescent="0.25">
      <c r="A712" t="s">
        <v>268</v>
      </c>
      <c r="B712">
        <v>905</v>
      </c>
      <c r="C712" s="26">
        <v>45797.472905092596</v>
      </c>
      <c r="D712">
        <v>4.4400000000000004</v>
      </c>
      <c r="E712" t="s">
        <v>78</v>
      </c>
      <c r="F712" t="str">
        <f>RIGHT(Table_Query_from_SqlServer11[[#This Row],[item_id]],7)</f>
        <v>A26-502</v>
      </c>
    </row>
    <row r="713" spans="1:6" x14ac:dyDescent="0.25">
      <c r="A713" t="s">
        <v>268</v>
      </c>
      <c r="B713">
        <v>906</v>
      </c>
      <c r="C713" s="26">
        <v>45797.473090277781</v>
      </c>
      <c r="D713">
        <v>4.66</v>
      </c>
      <c r="E713" t="s">
        <v>80</v>
      </c>
      <c r="F713" t="str">
        <f>RIGHT(Table_Query_from_SqlServer11[[#This Row],[item_id]],7)</f>
        <v>A26-502</v>
      </c>
    </row>
    <row r="714" spans="1:6" x14ac:dyDescent="0.25">
      <c r="A714" t="s">
        <v>269</v>
      </c>
      <c r="B714">
        <v>906</v>
      </c>
      <c r="C714" s="26">
        <v>45806.650312500002</v>
      </c>
      <c r="D714">
        <v>4.7300000000000004</v>
      </c>
      <c r="E714" t="s">
        <v>80</v>
      </c>
      <c r="F714" t="str">
        <f>RIGHT(Table_Query_from_SqlServer11[[#This Row],[item_id]],7)</f>
        <v>A26-503</v>
      </c>
    </row>
    <row r="715" spans="1:6" x14ac:dyDescent="0.25">
      <c r="A715" t="s">
        <v>269</v>
      </c>
      <c r="B715">
        <v>905</v>
      </c>
      <c r="C715" s="26">
        <v>45806.649918981479</v>
      </c>
      <c r="D715">
        <v>4.5599999999999996</v>
      </c>
      <c r="E715" t="s">
        <v>78</v>
      </c>
      <c r="F715" t="str">
        <f>RIGHT(Table_Query_from_SqlServer11[[#This Row],[item_id]],7)</f>
        <v>A26-503</v>
      </c>
    </row>
    <row r="716" spans="1:6" x14ac:dyDescent="0.25">
      <c r="A716" t="s">
        <v>269</v>
      </c>
      <c r="B716">
        <v>1237</v>
      </c>
      <c r="C716" s="26">
        <v>45794.37771990741</v>
      </c>
      <c r="D716">
        <v>3.74</v>
      </c>
      <c r="E716" t="s">
        <v>84</v>
      </c>
      <c r="F716" t="str">
        <f>RIGHT(Table_Query_from_SqlServer11[[#This Row],[item_id]],7)</f>
        <v>A26-503</v>
      </c>
    </row>
    <row r="717" spans="1:6" x14ac:dyDescent="0.25">
      <c r="A717" t="s">
        <v>269</v>
      </c>
      <c r="B717">
        <v>1236</v>
      </c>
      <c r="C717" s="26">
        <v>45794.37740740741</v>
      </c>
      <c r="D717">
        <v>3.19</v>
      </c>
      <c r="E717" t="s">
        <v>82</v>
      </c>
      <c r="F717" t="str">
        <f>RIGHT(Table_Query_from_SqlServer11[[#This Row],[item_id]],7)</f>
        <v>A26-503</v>
      </c>
    </row>
    <row r="718" spans="1:6" x14ac:dyDescent="0.25">
      <c r="A718" t="s">
        <v>270</v>
      </c>
      <c r="B718">
        <v>1237</v>
      </c>
      <c r="C718" s="26">
        <v>45812.662777777776</v>
      </c>
      <c r="D718">
        <v>4.01</v>
      </c>
      <c r="E718" t="s">
        <v>84</v>
      </c>
      <c r="F718" t="str">
        <f>RIGHT(Table_Query_from_SqlServer11[[#This Row],[item_id]],7)</f>
        <v>A26-504</v>
      </c>
    </row>
    <row r="719" spans="1:6" x14ac:dyDescent="0.25">
      <c r="A719" t="s">
        <v>270</v>
      </c>
      <c r="B719">
        <v>1236</v>
      </c>
      <c r="C719" s="26">
        <v>45812.662453703706</v>
      </c>
      <c r="D719">
        <v>3.26</v>
      </c>
      <c r="E719" t="s">
        <v>82</v>
      </c>
      <c r="F719" t="str">
        <f>RIGHT(Table_Query_from_SqlServer11[[#This Row],[item_id]],7)</f>
        <v>A26-504</v>
      </c>
    </row>
    <row r="720" spans="1:6" x14ac:dyDescent="0.25">
      <c r="A720" t="s">
        <v>270</v>
      </c>
      <c r="B720">
        <v>905</v>
      </c>
      <c r="C720" s="26">
        <v>45819.69494212963</v>
      </c>
      <c r="D720">
        <v>4.92</v>
      </c>
      <c r="E720" t="s">
        <v>78</v>
      </c>
      <c r="F720" t="str">
        <f>RIGHT(Table_Query_from_SqlServer11[[#This Row],[item_id]],7)</f>
        <v>A26-504</v>
      </c>
    </row>
    <row r="721" spans="1:6" x14ac:dyDescent="0.25">
      <c r="A721" t="s">
        <v>270</v>
      </c>
      <c r="B721">
        <v>906</v>
      </c>
      <c r="C721" s="26">
        <v>45819.69494212963</v>
      </c>
      <c r="D721">
        <v>5.0199999999999996</v>
      </c>
      <c r="E721" t="s">
        <v>80</v>
      </c>
      <c r="F721" t="str">
        <f>RIGHT(Table_Query_from_SqlServer11[[#This Row],[item_id]],7)</f>
        <v>A26-504</v>
      </c>
    </row>
    <row r="722" spans="1:6" x14ac:dyDescent="0.25">
      <c r="A722" t="s">
        <v>271</v>
      </c>
      <c r="B722">
        <v>905</v>
      </c>
      <c r="C722" s="26">
        <v>45826.448125000003</v>
      </c>
      <c r="D722">
        <v>3.09</v>
      </c>
      <c r="E722" t="s">
        <v>78</v>
      </c>
      <c r="F722" t="str">
        <f>RIGHT(Table_Query_from_SqlServer11[[#This Row],[item_id]],7)</f>
        <v>A26-505</v>
      </c>
    </row>
    <row r="723" spans="1:6" x14ac:dyDescent="0.25">
      <c r="A723" t="s">
        <v>271</v>
      </c>
      <c r="B723">
        <v>1236</v>
      </c>
      <c r="C723" s="26">
        <v>45818.513495370367</v>
      </c>
      <c r="D723">
        <v>1.581</v>
      </c>
      <c r="E723" t="s">
        <v>82</v>
      </c>
      <c r="F723" t="str">
        <f>RIGHT(Table_Query_from_SqlServer11[[#This Row],[item_id]],7)</f>
        <v>A26-505</v>
      </c>
    </row>
    <row r="724" spans="1:6" x14ac:dyDescent="0.25">
      <c r="A724" t="s">
        <v>271</v>
      </c>
      <c r="B724">
        <v>1237</v>
      </c>
      <c r="C724" s="26">
        <v>45818.513495370367</v>
      </c>
      <c r="D724">
        <v>1.835</v>
      </c>
      <c r="E724" t="s">
        <v>84</v>
      </c>
      <c r="F724" t="str">
        <f>RIGHT(Table_Query_from_SqlServer11[[#This Row],[item_id]],7)</f>
        <v>A26-505</v>
      </c>
    </row>
    <row r="725" spans="1:6" x14ac:dyDescent="0.25">
      <c r="A725" t="s">
        <v>271</v>
      </c>
      <c r="B725">
        <v>906</v>
      </c>
      <c r="C725" s="26">
        <v>45826.44840277778</v>
      </c>
      <c r="D725">
        <v>3.06</v>
      </c>
      <c r="E725" t="s">
        <v>80</v>
      </c>
      <c r="F725" t="str">
        <f>RIGHT(Table_Query_from_SqlServer11[[#This Row],[item_id]],7)</f>
        <v>A26-505</v>
      </c>
    </row>
    <row r="726" spans="1:6" x14ac:dyDescent="0.25">
      <c r="A726" t="s">
        <v>272</v>
      </c>
      <c r="B726">
        <v>1236</v>
      </c>
      <c r="C726" s="26">
        <v>45839.65902777778</v>
      </c>
      <c r="D726">
        <v>3.94</v>
      </c>
      <c r="E726" t="s">
        <v>82</v>
      </c>
      <c r="F726" t="str">
        <f>RIGHT(Table_Query_from_SqlServer11[[#This Row],[item_id]],7)</f>
        <v>A26-507</v>
      </c>
    </row>
    <row r="727" spans="1:6" x14ac:dyDescent="0.25">
      <c r="A727" t="s">
        <v>272</v>
      </c>
      <c r="B727">
        <v>1237</v>
      </c>
      <c r="C727" s="26">
        <v>45839.65902777778</v>
      </c>
      <c r="D727">
        <v>4.78</v>
      </c>
      <c r="E727" t="s">
        <v>84</v>
      </c>
      <c r="F727" t="str">
        <f>RIGHT(Table_Query_from_SqlServer11[[#This Row],[item_id]],7)</f>
        <v>A26-507</v>
      </c>
    </row>
    <row r="728" spans="1:6" x14ac:dyDescent="0.25">
      <c r="A728" t="s">
        <v>272</v>
      </c>
      <c r="B728">
        <v>905</v>
      </c>
      <c r="C728" s="26">
        <v>45846.517361111109</v>
      </c>
      <c r="D728">
        <v>5.5</v>
      </c>
      <c r="E728" t="s">
        <v>78</v>
      </c>
      <c r="F728" t="str">
        <f>RIGHT(Table_Query_from_SqlServer11[[#This Row],[item_id]],7)</f>
        <v>A26-507</v>
      </c>
    </row>
    <row r="729" spans="1:6" x14ac:dyDescent="0.25">
      <c r="A729" t="s">
        <v>272</v>
      </c>
      <c r="B729">
        <v>906</v>
      </c>
      <c r="C729" s="26">
        <v>45846.517361111109</v>
      </c>
      <c r="D729">
        <v>5.74</v>
      </c>
      <c r="E729" t="s">
        <v>80</v>
      </c>
      <c r="F729" t="str">
        <f>RIGHT(Table_Query_from_SqlServer11[[#This Row],[item_id]],7)</f>
        <v>A26-507</v>
      </c>
    </row>
    <row r="730" spans="1:6" x14ac:dyDescent="0.25">
      <c r="A730" t="s">
        <v>273</v>
      </c>
      <c r="B730">
        <v>905</v>
      </c>
      <c r="C730" s="26">
        <v>45860.517708333333</v>
      </c>
      <c r="D730">
        <v>3.71</v>
      </c>
      <c r="E730" t="s">
        <v>78</v>
      </c>
      <c r="F730" t="str">
        <f>RIGHT(Table_Query_from_SqlServer11[[#This Row],[item_id]],7)</f>
        <v>A26-508</v>
      </c>
    </row>
    <row r="731" spans="1:6" x14ac:dyDescent="0.25">
      <c r="A731" t="s">
        <v>273</v>
      </c>
      <c r="B731">
        <v>906</v>
      </c>
      <c r="C731" s="26">
        <v>45860.517708333333</v>
      </c>
      <c r="D731">
        <v>3.69</v>
      </c>
      <c r="E731" t="s">
        <v>80</v>
      </c>
      <c r="F731" t="str">
        <f>RIGHT(Table_Query_from_SqlServer11[[#This Row],[item_id]],7)</f>
        <v>A26-508</v>
      </c>
    </row>
    <row r="732" spans="1:6" x14ac:dyDescent="0.25">
      <c r="A732" t="s">
        <v>273</v>
      </c>
      <c r="B732">
        <v>1236</v>
      </c>
      <c r="C732" s="26">
        <v>45852.46365740741</v>
      </c>
      <c r="D732">
        <v>2.0099999999999998</v>
      </c>
      <c r="E732" t="s">
        <v>82</v>
      </c>
      <c r="F732" t="str">
        <f>RIGHT(Table_Query_from_SqlServer11[[#This Row],[item_id]],7)</f>
        <v>A26-508</v>
      </c>
    </row>
    <row r="733" spans="1:6" x14ac:dyDescent="0.25">
      <c r="A733" t="s">
        <v>273</v>
      </c>
      <c r="B733">
        <v>1237</v>
      </c>
      <c r="C733" s="26">
        <v>45852.46365740741</v>
      </c>
      <c r="D733">
        <v>2.52</v>
      </c>
      <c r="E733" t="s">
        <v>84</v>
      </c>
      <c r="F733" t="str">
        <f>RIGHT(Table_Query_from_SqlServer11[[#This Row],[item_id]],7)</f>
        <v>A26-508</v>
      </c>
    </row>
    <row r="734" spans="1:6" x14ac:dyDescent="0.25">
      <c r="A734" t="s">
        <v>274</v>
      </c>
      <c r="B734">
        <v>1236</v>
      </c>
      <c r="C734" s="26">
        <v>45863.331504629627</v>
      </c>
      <c r="D734">
        <v>3.05</v>
      </c>
      <c r="E734" t="s">
        <v>82</v>
      </c>
      <c r="F734" t="str">
        <f>RIGHT(Table_Query_from_SqlServer11[[#This Row],[item_id]],7)</f>
        <v>A26-509</v>
      </c>
    </row>
    <row r="735" spans="1:6" x14ac:dyDescent="0.25">
      <c r="A735" t="s">
        <v>274</v>
      </c>
      <c r="B735">
        <v>1237</v>
      </c>
      <c r="C735" s="26">
        <v>45863.331643518519</v>
      </c>
      <c r="D735">
        <v>3.54</v>
      </c>
      <c r="E735" t="s">
        <v>84</v>
      </c>
      <c r="F735" t="str">
        <f>RIGHT(Table_Query_from_SqlServer11[[#This Row],[item_id]],7)</f>
        <v>A26-509</v>
      </c>
    </row>
    <row r="736" spans="1:6" x14ac:dyDescent="0.25">
      <c r="A736" t="s">
        <v>274</v>
      </c>
      <c r="B736">
        <v>905</v>
      </c>
      <c r="C736" s="26">
        <v>45875.760648148149</v>
      </c>
      <c r="D736">
        <v>4.6500000000000004</v>
      </c>
      <c r="E736" t="s">
        <v>78</v>
      </c>
      <c r="F736" t="str">
        <f>RIGHT(Table_Query_from_SqlServer11[[#This Row],[item_id]],7)</f>
        <v>A26-509</v>
      </c>
    </row>
    <row r="737" spans="1:6" x14ac:dyDescent="0.25">
      <c r="A737" t="s">
        <v>274</v>
      </c>
      <c r="B737">
        <v>906</v>
      </c>
      <c r="C737" s="26">
        <v>45875.761250000003</v>
      </c>
      <c r="D737">
        <v>5.03</v>
      </c>
      <c r="E737" t="s">
        <v>80</v>
      </c>
      <c r="F737" t="str">
        <f>RIGHT(Table_Query_from_SqlServer11[[#This Row],[item_id]],7)</f>
        <v>A26-509</v>
      </c>
    </row>
    <row r="738" spans="1:6" x14ac:dyDescent="0.25">
      <c r="A738" t="s">
        <v>275</v>
      </c>
      <c r="B738">
        <v>906</v>
      </c>
      <c r="C738" s="26">
        <v>45889.254664351851</v>
      </c>
      <c r="D738">
        <v>5.04</v>
      </c>
      <c r="E738" t="s">
        <v>80</v>
      </c>
      <c r="F738" t="str">
        <f>RIGHT(Table_Query_from_SqlServer11[[#This Row],[item_id]],7)</f>
        <v>A26-510</v>
      </c>
    </row>
    <row r="739" spans="1:6" x14ac:dyDescent="0.25">
      <c r="A739" t="s">
        <v>275</v>
      </c>
      <c r="B739">
        <v>905</v>
      </c>
      <c r="C739" s="26">
        <v>45889.254444444443</v>
      </c>
      <c r="D739">
        <v>4.7</v>
      </c>
      <c r="E739" t="s">
        <v>78</v>
      </c>
      <c r="F739" t="str">
        <f>RIGHT(Table_Query_from_SqlServer11[[#This Row],[item_id]],7)</f>
        <v>A26-510</v>
      </c>
    </row>
    <row r="740" spans="1:6" x14ac:dyDescent="0.25">
      <c r="A740" t="s">
        <v>275</v>
      </c>
      <c r="B740">
        <v>1237</v>
      </c>
      <c r="C740" s="26">
        <v>45880.322094907409</v>
      </c>
      <c r="D740">
        <v>3.67</v>
      </c>
      <c r="E740" t="s">
        <v>84</v>
      </c>
      <c r="F740" t="str">
        <f>RIGHT(Table_Query_from_SqlServer11[[#This Row],[item_id]],7)</f>
        <v>A26-510</v>
      </c>
    </row>
    <row r="741" spans="1:6" x14ac:dyDescent="0.25">
      <c r="A741" t="s">
        <v>275</v>
      </c>
      <c r="B741">
        <v>1236</v>
      </c>
      <c r="C741" s="26">
        <v>45880.321886574071</v>
      </c>
      <c r="D741">
        <v>3.25</v>
      </c>
      <c r="E741" t="s">
        <v>82</v>
      </c>
      <c r="F741" t="str">
        <f>RIGHT(Table_Query_from_SqlServer11[[#This Row],[item_id]],7)</f>
        <v>A26-510</v>
      </c>
    </row>
    <row r="742" spans="1:6" x14ac:dyDescent="0.25">
      <c r="A742" t="s">
        <v>276</v>
      </c>
      <c r="B742">
        <v>906</v>
      </c>
      <c r="C742" s="26">
        <v>45909.611921296295</v>
      </c>
      <c r="D742">
        <v>4.8499999999999996</v>
      </c>
      <c r="E742" t="s">
        <v>80</v>
      </c>
      <c r="F742" t="str">
        <f>RIGHT(Table_Query_from_SqlServer11[[#This Row],[item_id]],7)</f>
        <v>A26-511</v>
      </c>
    </row>
    <row r="743" spans="1:6" x14ac:dyDescent="0.25">
      <c r="A743" t="s">
        <v>276</v>
      </c>
      <c r="B743">
        <v>1236</v>
      </c>
      <c r="C743" s="26">
        <v>45903.475497685184</v>
      </c>
      <c r="D743">
        <v>3.26</v>
      </c>
      <c r="E743" t="s">
        <v>82</v>
      </c>
      <c r="F743" t="str">
        <f>RIGHT(Table_Query_from_SqlServer11[[#This Row],[item_id]],7)</f>
        <v>A26-511</v>
      </c>
    </row>
    <row r="744" spans="1:6" x14ac:dyDescent="0.25">
      <c r="A744" t="s">
        <v>276</v>
      </c>
      <c r="B744">
        <v>1237</v>
      </c>
      <c r="C744" s="26">
        <v>45903.475497685184</v>
      </c>
      <c r="D744">
        <v>3.84</v>
      </c>
      <c r="E744" t="s">
        <v>84</v>
      </c>
      <c r="F744" t="str">
        <f>RIGHT(Table_Query_from_SqlServer11[[#This Row],[item_id]],7)</f>
        <v>A26-511</v>
      </c>
    </row>
    <row r="745" spans="1:6" x14ac:dyDescent="0.25">
      <c r="A745" t="s">
        <v>276</v>
      </c>
      <c r="B745">
        <v>905</v>
      </c>
      <c r="C745" s="26">
        <v>45909.611701388887</v>
      </c>
      <c r="D745">
        <v>4.66</v>
      </c>
      <c r="E745" t="s">
        <v>78</v>
      </c>
      <c r="F745" t="str">
        <f>RIGHT(Table_Query_from_SqlServer11[[#This Row],[item_id]],7)</f>
        <v>A26-511</v>
      </c>
    </row>
    <row r="746" spans="1:6" x14ac:dyDescent="0.25">
      <c r="A746" t="s">
        <v>277</v>
      </c>
      <c r="B746">
        <v>906</v>
      </c>
      <c r="C746" s="26">
        <v>45917.637719907405</v>
      </c>
      <c r="D746">
        <v>6.14</v>
      </c>
      <c r="E746" t="s">
        <v>80</v>
      </c>
      <c r="F746" t="str">
        <f>RIGHT(Table_Query_from_SqlServer11[[#This Row],[item_id]],7)</f>
        <v>A26-512</v>
      </c>
    </row>
    <row r="747" spans="1:6" x14ac:dyDescent="0.25">
      <c r="A747" t="s">
        <v>277</v>
      </c>
      <c r="B747">
        <v>905</v>
      </c>
      <c r="C747" s="26">
        <v>45917.637407407405</v>
      </c>
      <c r="D747">
        <v>5.59</v>
      </c>
      <c r="E747" t="s">
        <v>78</v>
      </c>
      <c r="F747" t="str">
        <f>RIGHT(Table_Query_from_SqlServer11[[#This Row],[item_id]],7)</f>
        <v>A26-512</v>
      </c>
    </row>
    <row r="748" spans="1:6" x14ac:dyDescent="0.25">
      <c r="A748" t="s">
        <v>277</v>
      </c>
      <c r="B748">
        <v>1237</v>
      </c>
      <c r="C748" s="26">
        <v>45909.322222222225</v>
      </c>
      <c r="D748">
        <v>4.9800000000000004</v>
      </c>
      <c r="E748" t="s">
        <v>84</v>
      </c>
      <c r="F748" t="str">
        <f>RIGHT(Table_Query_from_SqlServer11[[#This Row],[item_id]],7)</f>
        <v>A26-512</v>
      </c>
    </row>
    <row r="749" spans="1:6" x14ac:dyDescent="0.25">
      <c r="A749" t="s">
        <v>277</v>
      </c>
      <c r="B749">
        <v>1236</v>
      </c>
      <c r="C749" s="26">
        <v>45909.322013888886</v>
      </c>
      <c r="D749">
        <v>4.21</v>
      </c>
      <c r="E749" t="s">
        <v>82</v>
      </c>
      <c r="F749" t="str">
        <f>RIGHT(Table_Query_from_SqlServer11[[#This Row],[item_id]],7)</f>
        <v>A26-512</v>
      </c>
    </row>
    <row r="750" spans="1:6" x14ac:dyDescent="0.25">
      <c r="A750" t="s">
        <v>278</v>
      </c>
      <c r="B750">
        <v>1236</v>
      </c>
      <c r="C750" s="26">
        <v>45930.297361111108</v>
      </c>
      <c r="D750">
        <v>2.99</v>
      </c>
      <c r="E750" t="s">
        <v>82</v>
      </c>
      <c r="F750" t="str">
        <f>RIGHT(Table_Query_from_SqlServer11[[#This Row],[item_id]],7)</f>
        <v>A26-513</v>
      </c>
    </row>
    <row r="751" spans="1:6" x14ac:dyDescent="0.25">
      <c r="A751" t="s">
        <v>278</v>
      </c>
      <c r="B751">
        <v>906</v>
      </c>
      <c r="C751" s="26">
        <v>45943.472141203703</v>
      </c>
      <c r="D751">
        <v>4.97</v>
      </c>
      <c r="E751" t="s">
        <v>80</v>
      </c>
      <c r="F751" t="str">
        <f>RIGHT(Table_Query_from_SqlServer11[[#This Row],[item_id]],7)</f>
        <v>A26-513</v>
      </c>
    </row>
    <row r="752" spans="1:6" x14ac:dyDescent="0.25">
      <c r="A752" t="s">
        <v>278</v>
      </c>
      <c r="B752">
        <v>1237</v>
      </c>
      <c r="C752" s="26">
        <v>45930.297638888886</v>
      </c>
      <c r="D752">
        <v>3.73</v>
      </c>
      <c r="E752" t="s">
        <v>84</v>
      </c>
      <c r="F752" t="str">
        <f>RIGHT(Table_Query_from_SqlServer11[[#This Row],[item_id]],7)</f>
        <v>A26-513</v>
      </c>
    </row>
    <row r="753" spans="1:6" x14ac:dyDescent="0.25">
      <c r="A753" t="s">
        <v>278</v>
      </c>
      <c r="B753">
        <v>905</v>
      </c>
      <c r="C753" s="26">
        <v>45943.47179398148</v>
      </c>
      <c r="D753">
        <v>4.6900000000000004</v>
      </c>
      <c r="E753" t="s">
        <v>78</v>
      </c>
      <c r="F753" t="str">
        <f>RIGHT(Table_Query_from_SqlServer11[[#This Row],[item_id]],7)</f>
        <v>A26-513</v>
      </c>
    </row>
    <row r="754" spans="1:6" x14ac:dyDescent="0.25">
      <c r="A754" t="s">
        <v>279</v>
      </c>
      <c r="B754">
        <v>906</v>
      </c>
      <c r="C754" s="26">
        <v>45966.233946759261</v>
      </c>
      <c r="D754">
        <v>5.17</v>
      </c>
      <c r="E754" t="s">
        <v>80</v>
      </c>
      <c r="F754" t="str">
        <f>RIGHT(Table_Query_from_SqlServer11[[#This Row],[item_id]],7)</f>
        <v>A26-514</v>
      </c>
    </row>
    <row r="755" spans="1:6" x14ac:dyDescent="0.25">
      <c r="A755" t="s">
        <v>279</v>
      </c>
      <c r="B755">
        <v>905</v>
      </c>
      <c r="C755" s="26">
        <v>45966.233773148146</v>
      </c>
      <c r="D755">
        <v>4.8899999999999997</v>
      </c>
      <c r="E755" t="s">
        <v>78</v>
      </c>
      <c r="F755" t="str">
        <f>RIGHT(Table_Query_from_SqlServer11[[#This Row],[item_id]],7)</f>
        <v>A26-514</v>
      </c>
    </row>
    <row r="756" spans="1:6" x14ac:dyDescent="0.25">
      <c r="A756" t="s">
        <v>279</v>
      </c>
      <c r="B756">
        <v>1236</v>
      </c>
      <c r="C756" s="26">
        <v>45953.484560185185</v>
      </c>
      <c r="D756">
        <v>3.55</v>
      </c>
      <c r="E756" t="s">
        <v>82</v>
      </c>
      <c r="F756" t="str">
        <f>RIGHT(Table_Query_from_SqlServer11[[#This Row],[item_id]],7)</f>
        <v>A26-514</v>
      </c>
    </row>
    <row r="757" spans="1:6" x14ac:dyDescent="0.25">
      <c r="A757" t="s">
        <v>279</v>
      </c>
      <c r="B757">
        <v>1237</v>
      </c>
      <c r="C757" s="26">
        <v>45953.484560185185</v>
      </c>
      <c r="D757">
        <v>3.98</v>
      </c>
      <c r="E757" t="s">
        <v>84</v>
      </c>
      <c r="F757" t="str">
        <f>RIGHT(Table_Query_from_SqlServer11[[#This Row],[item_id]],7)</f>
        <v>A26-514</v>
      </c>
    </row>
    <row r="758" spans="1:6" x14ac:dyDescent="0.25">
      <c r="A758" t="s">
        <v>280</v>
      </c>
      <c r="B758">
        <v>1236</v>
      </c>
      <c r="C758" s="26">
        <v>45950.410462962966</v>
      </c>
      <c r="D758">
        <v>0.37</v>
      </c>
      <c r="E758" t="s">
        <v>82</v>
      </c>
      <c r="F758" t="str">
        <f>RIGHT(Table_Query_from_SqlServer11[[#This Row],[item_id]],7)</f>
        <v>A26-515</v>
      </c>
    </row>
    <row r="759" spans="1:6" x14ac:dyDescent="0.25">
      <c r="A759" t="s">
        <v>280</v>
      </c>
      <c r="B759">
        <v>1237</v>
      </c>
      <c r="C759" s="26">
        <v>45950.410462962966</v>
      </c>
      <c r="D759">
        <v>0.41</v>
      </c>
      <c r="E759" t="s">
        <v>84</v>
      </c>
      <c r="F759" t="str">
        <f>RIGHT(Table_Query_from_SqlServer11[[#This Row],[item_id]],7)</f>
        <v>A26-515</v>
      </c>
    </row>
    <row r="760" spans="1:6" x14ac:dyDescent="0.25">
      <c r="A760" t="s">
        <v>280</v>
      </c>
      <c r="B760">
        <v>906</v>
      </c>
      <c r="C760" s="26">
        <v>45952.338240740741</v>
      </c>
      <c r="D760">
        <v>0.41</v>
      </c>
      <c r="E760" t="s">
        <v>80</v>
      </c>
      <c r="F760" t="str">
        <f>RIGHT(Table_Query_from_SqlServer11[[#This Row],[item_id]],7)</f>
        <v>A26-515</v>
      </c>
    </row>
    <row r="761" spans="1:6" x14ac:dyDescent="0.25">
      <c r="A761" t="s">
        <v>280</v>
      </c>
      <c r="B761">
        <v>905</v>
      </c>
      <c r="C761" s="26">
        <v>45952.338240740741</v>
      </c>
      <c r="D761">
        <v>0.37</v>
      </c>
      <c r="E761" t="s">
        <v>78</v>
      </c>
      <c r="F761" t="str">
        <f>RIGHT(Table_Query_from_SqlServer11[[#This Row],[item_id]],7)</f>
        <v>A26-515</v>
      </c>
    </row>
    <row r="762" spans="1:6" x14ac:dyDescent="0.25">
      <c r="A762" t="s">
        <v>281</v>
      </c>
      <c r="B762">
        <v>905</v>
      </c>
      <c r="C762" s="26">
        <v>45964.358032407406</v>
      </c>
      <c r="D762">
        <v>0.3</v>
      </c>
      <c r="E762" t="s">
        <v>78</v>
      </c>
      <c r="F762" t="str">
        <f>RIGHT(Table_Query_from_SqlServer11[[#This Row],[item_id]],7)</f>
        <v>A26-516</v>
      </c>
    </row>
    <row r="763" spans="1:6" x14ac:dyDescent="0.25">
      <c r="A763" t="s">
        <v>281</v>
      </c>
      <c r="B763">
        <v>906</v>
      </c>
      <c r="C763" s="26">
        <v>45964.358032407406</v>
      </c>
      <c r="D763">
        <v>0.37</v>
      </c>
      <c r="E763" t="s">
        <v>80</v>
      </c>
      <c r="F763" t="str">
        <f>RIGHT(Table_Query_from_SqlServer11[[#This Row],[item_id]],7)</f>
        <v>A26-516</v>
      </c>
    </row>
    <row r="764" spans="1:6" x14ac:dyDescent="0.25">
      <c r="A764" t="s">
        <v>281</v>
      </c>
      <c r="B764">
        <v>1236</v>
      </c>
      <c r="C764" s="26">
        <v>45964.313900462963</v>
      </c>
      <c r="D764">
        <v>0.3</v>
      </c>
      <c r="E764" t="s">
        <v>82</v>
      </c>
      <c r="F764" t="str">
        <f>RIGHT(Table_Query_from_SqlServer11[[#This Row],[item_id]],7)</f>
        <v>A26-516</v>
      </c>
    </row>
    <row r="765" spans="1:6" x14ac:dyDescent="0.25">
      <c r="A765" t="s">
        <v>281</v>
      </c>
      <c r="B765">
        <v>1237</v>
      </c>
      <c r="C765" s="26">
        <v>45964.313981481479</v>
      </c>
      <c r="D765">
        <v>0.37</v>
      </c>
      <c r="E765" t="s">
        <v>84</v>
      </c>
      <c r="F765" t="str">
        <f>RIGHT(Table_Query_from_SqlServer11[[#This Row],[item_id]],7)</f>
        <v>A26-516</v>
      </c>
    </row>
    <row r="766" spans="1:6" x14ac:dyDescent="0.25">
      <c r="A766" t="s">
        <v>282</v>
      </c>
      <c r="B766">
        <v>1237</v>
      </c>
      <c r="C766" s="26">
        <v>45985.535254629627</v>
      </c>
      <c r="D766">
        <v>0.42</v>
      </c>
      <c r="E766" t="s">
        <v>84</v>
      </c>
      <c r="F766" t="str">
        <f>RIGHT(Table_Query_from_SqlServer11[[#This Row],[item_id]],7)</f>
        <v>A26-517</v>
      </c>
    </row>
    <row r="767" spans="1:6" x14ac:dyDescent="0.25">
      <c r="A767" t="s">
        <v>282</v>
      </c>
      <c r="B767">
        <v>1236</v>
      </c>
      <c r="C767" s="26">
        <v>45985.535034722219</v>
      </c>
      <c r="D767">
        <v>0.35</v>
      </c>
      <c r="E767" t="s">
        <v>82</v>
      </c>
      <c r="F767" t="str">
        <f>RIGHT(Table_Query_from_SqlServer11[[#This Row],[item_id]],7)</f>
        <v>A26-517</v>
      </c>
    </row>
    <row r="768" spans="1:6" x14ac:dyDescent="0.25">
      <c r="A768" t="s">
        <v>282</v>
      </c>
      <c r="B768">
        <v>906</v>
      </c>
      <c r="C768" s="26">
        <v>45992.658680555556</v>
      </c>
      <c r="D768">
        <v>0.69</v>
      </c>
      <c r="E768" t="s">
        <v>80</v>
      </c>
      <c r="F768" t="str">
        <f>RIGHT(Table_Query_from_SqlServer11[[#This Row],[item_id]],7)</f>
        <v>A26-517</v>
      </c>
    </row>
    <row r="769" spans="1:6" x14ac:dyDescent="0.25">
      <c r="A769" t="s">
        <v>282</v>
      </c>
      <c r="B769">
        <v>905</v>
      </c>
      <c r="C769" s="26">
        <v>45992.658587962964</v>
      </c>
      <c r="D769">
        <v>0.69</v>
      </c>
      <c r="E769" t="s">
        <v>78</v>
      </c>
      <c r="F769" t="str">
        <f>RIGHT(Table_Query_from_SqlServer11[[#This Row],[item_id]],7)</f>
        <v>A26-517</v>
      </c>
    </row>
    <row r="770" spans="1:6" x14ac:dyDescent="0.25">
      <c r="A770" t="s">
        <v>283</v>
      </c>
      <c r="B770">
        <v>906</v>
      </c>
      <c r="C770" s="26">
        <v>45999.269953703704</v>
      </c>
      <c r="D770">
        <v>0.77</v>
      </c>
      <c r="E770" t="s">
        <v>80</v>
      </c>
      <c r="F770" t="str">
        <f>RIGHT(Table_Query_from_SqlServer11[[#This Row],[item_id]],7)</f>
        <v>A26-518</v>
      </c>
    </row>
    <row r="771" spans="1:6" x14ac:dyDescent="0.25">
      <c r="A771" t="s">
        <v>283</v>
      </c>
      <c r="B771">
        <v>905</v>
      </c>
      <c r="C771" s="26">
        <v>45999.269872685189</v>
      </c>
      <c r="D771">
        <v>0.65</v>
      </c>
      <c r="E771" t="s">
        <v>78</v>
      </c>
      <c r="F771" t="str">
        <f>RIGHT(Table_Query_from_SqlServer11[[#This Row],[item_id]],7)</f>
        <v>A26-518</v>
      </c>
    </row>
    <row r="772" spans="1:6" x14ac:dyDescent="0.25">
      <c r="A772" t="s">
        <v>283</v>
      </c>
      <c r="B772">
        <v>1236</v>
      </c>
      <c r="C772" s="26">
        <v>45992.66201388889</v>
      </c>
      <c r="D772">
        <v>0.34</v>
      </c>
      <c r="E772" t="s">
        <v>82</v>
      </c>
      <c r="F772" t="str">
        <f>RIGHT(Table_Query_from_SqlServer11[[#This Row],[item_id]],7)</f>
        <v>A26-518</v>
      </c>
    </row>
    <row r="773" spans="1:6" x14ac:dyDescent="0.25">
      <c r="A773" t="s">
        <v>283</v>
      </c>
      <c r="B773">
        <v>1237</v>
      </c>
      <c r="C773" s="26">
        <v>45992.662118055552</v>
      </c>
      <c r="D773">
        <v>0.42</v>
      </c>
      <c r="E773" t="s">
        <v>84</v>
      </c>
      <c r="F773" t="str">
        <f>RIGHT(Table_Query_from_SqlServer11[[#This Row],[item_id]],7)</f>
        <v>A26-518</v>
      </c>
    </row>
    <row r="774" spans="1:6" x14ac:dyDescent="0.25">
      <c r="A774" t="s">
        <v>284</v>
      </c>
      <c r="B774">
        <v>1236</v>
      </c>
      <c r="C774" s="26">
        <v>46029.449270833335</v>
      </c>
      <c r="D774">
        <v>3.55</v>
      </c>
      <c r="E774" t="s">
        <v>82</v>
      </c>
      <c r="F774" t="str">
        <f>RIGHT(Table_Query_from_SqlServer11[[#This Row],[item_id]],7)</f>
        <v>A26-519</v>
      </c>
    </row>
    <row r="775" spans="1:6" x14ac:dyDescent="0.25">
      <c r="A775" t="s">
        <v>284</v>
      </c>
      <c r="B775">
        <v>1237</v>
      </c>
      <c r="C775" s="26">
        <v>46029.449270833335</v>
      </c>
      <c r="D775">
        <v>3.65</v>
      </c>
      <c r="E775" t="s">
        <v>84</v>
      </c>
      <c r="F775" t="str">
        <f>RIGHT(Table_Query_from_SqlServer11[[#This Row],[item_id]],7)</f>
        <v>A26-519</v>
      </c>
    </row>
    <row r="776" spans="1:6" x14ac:dyDescent="0.25">
      <c r="A776" t="s">
        <v>284</v>
      </c>
      <c r="B776">
        <v>906</v>
      </c>
      <c r="C776" s="26">
        <v>46041.272719907407</v>
      </c>
      <c r="D776">
        <v>4.87</v>
      </c>
      <c r="E776" t="s">
        <v>80</v>
      </c>
      <c r="F776" t="str">
        <f>RIGHT(Table_Query_from_SqlServer11[[#This Row],[item_id]],7)</f>
        <v>A26-519</v>
      </c>
    </row>
    <row r="777" spans="1:6" x14ac:dyDescent="0.25">
      <c r="A777" t="s">
        <v>284</v>
      </c>
      <c r="B777">
        <v>905</v>
      </c>
      <c r="C777" s="26">
        <v>46041.272627314815</v>
      </c>
      <c r="D777">
        <v>4.7</v>
      </c>
      <c r="E777" t="s">
        <v>78</v>
      </c>
      <c r="F777" t="str">
        <f>RIGHT(Table_Query_from_SqlServer11[[#This Row],[item_id]],7)</f>
        <v>A26-519</v>
      </c>
    </row>
    <row r="778" spans="1:6" x14ac:dyDescent="0.25">
      <c r="A778" t="s">
        <v>285</v>
      </c>
      <c r="B778">
        <v>905</v>
      </c>
      <c r="C778" s="26">
        <v>46041.271435185183</v>
      </c>
      <c r="D778">
        <v>4.51</v>
      </c>
      <c r="E778" t="s">
        <v>78</v>
      </c>
      <c r="F778" t="str">
        <f>RIGHT(Table_Query_from_SqlServer11[[#This Row],[item_id]],7)</f>
        <v>A26-520</v>
      </c>
    </row>
    <row r="779" spans="1:6" x14ac:dyDescent="0.25">
      <c r="A779" t="s">
        <v>285</v>
      </c>
      <c r="B779">
        <v>906</v>
      </c>
      <c r="C779" s="26">
        <v>46041.271550925929</v>
      </c>
      <c r="D779">
        <v>4.87</v>
      </c>
      <c r="E779" t="s">
        <v>80</v>
      </c>
      <c r="F779" t="str">
        <f>RIGHT(Table_Query_from_SqlServer11[[#This Row],[item_id]],7)</f>
        <v>A26-520</v>
      </c>
    </row>
    <row r="780" spans="1:6" x14ac:dyDescent="0.25">
      <c r="A780" t="s">
        <v>285</v>
      </c>
      <c r="B780">
        <v>1236</v>
      </c>
      <c r="C780" s="26">
        <v>46031.526018518518</v>
      </c>
      <c r="D780">
        <v>3.26</v>
      </c>
      <c r="E780" t="s">
        <v>82</v>
      </c>
      <c r="F780" t="str">
        <f>RIGHT(Table_Query_from_SqlServer11[[#This Row],[item_id]],7)</f>
        <v>A26-520</v>
      </c>
    </row>
    <row r="781" spans="1:6" x14ac:dyDescent="0.25">
      <c r="A781" t="s">
        <v>285</v>
      </c>
      <c r="B781">
        <v>1237</v>
      </c>
      <c r="C781" s="26">
        <v>46031.52621527778</v>
      </c>
      <c r="D781">
        <v>3.71</v>
      </c>
      <c r="E781" t="s">
        <v>84</v>
      </c>
      <c r="F781" t="str">
        <f>RIGHT(Table_Query_from_SqlServer11[[#This Row],[item_id]],7)</f>
        <v>A26-520</v>
      </c>
    </row>
    <row r="782" spans="1:6" x14ac:dyDescent="0.25">
      <c r="A782" t="s">
        <v>286</v>
      </c>
      <c r="B782">
        <v>1237</v>
      </c>
      <c r="C782" s="26">
        <v>46035.583124999997</v>
      </c>
      <c r="D782">
        <v>3.97</v>
      </c>
      <c r="E782" t="s">
        <v>84</v>
      </c>
      <c r="F782" t="str">
        <f>RIGHT(Table_Query_from_SqlServer11[[#This Row],[item_id]],7)</f>
        <v>A26-521</v>
      </c>
    </row>
    <row r="783" spans="1:6" x14ac:dyDescent="0.25">
      <c r="A783" t="s">
        <v>286</v>
      </c>
      <c r="B783">
        <v>1236</v>
      </c>
      <c r="C783" s="26">
        <v>46035.583229166667</v>
      </c>
      <c r="D783">
        <v>3.53</v>
      </c>
      <c r="E783" t="s">
        <v>82</v>
      </c>
      <c r="F783" t="str">
        <f>RIGHT(Table_Query_from_SqlServer11[[#This Row],[item_id]],7)</f>
        <v>A26-521</v>
      </c>
    </row>
    <row r="784" spans="1:6" x14ac:dyDescent="0.25">
      <c r="A784" t="s">
        <v>286</v>
      </c>
      <c r="B784">
        <v>906</v>
      </c>
      <c r="C784" s="26">
        <v>46045.451724537037</v>
      </c>
      <c r="D784">
        <v>5.29</v>
      </c>
      <c r="E784" t="s">
        <v>80</v>
      </c>
      <c r="F784" t="str">
        <f>RIGHT(Table_Query_from_SqlServer11[[#This Row],[item_id]],7)</f>
        <v>A26-521</v>
      </c>
    </row>
    <row r="785" spans="1:6" x14ac:dyDescent="0.25">
      <c r="A785" t="s">
        <v>286</v>
      </c>
      <c r="B785">
        <v>905</v>
      </c>
      <c r="C785" s="26">
        <v>46045.451504629629</v>
      </c>
      <c r="D785">
        <v>4.8499999999999996</v>
      </c>
      <c r="E785" t="s">
        <v>78</v>
      </c>
      <c r="F785" t="str">
        <f>RIGHT(Table_Query_from_SqlServer11[[#This Row],[item_id]],7)</f>
        <v>A26-521</v>
      </c>
    </row>
    <row r="786" spans="1:6" x14ac:dyDescent="0.25">
      <c r="A786" t="s">
        <v>287</v>
      </c>
      <c r="B786">
        <v>905</v>
      </c>
      <c r="C786" s="26">
        <v>46058.594236111108</v>
      </c>
      <c r="D786">
        <v>4.49</v>
      </c>
      <c r="E786" t="s">
        <v>78</v>
      </c>
      <c r="F786" t="str">
        <f>RIGHT(Table_Query_from_SqlServer11[[#This Row],[item_id]],7)</f>
        <v>A26-522</v>
      </c>
    </row>
    <row r="787" spans="1:6" x14ac:dyDescent="0.25">
      <c r="A787" t="s">
        <v>287</v>
      </c>
      <c r="B787">
        <v>906</v>
      </c>
      <c r="C787" s="26">
        <v>46058.5937962963</v>
      </c>
      <c r="D787">
        <v>4.75</v>
      </c>
      <c r="E787" t="s">
        <v>80</v>
      </c>
      <c r="F787" t="str">
        <f>RIGHT(Table_Query_from_SqlServer11[[#This Row],[item_id]],7)</f>
        <v>A26-522</v>
      </c>
    </row>
    <row r="788" spans="1:6" x14ac:dyDescent="0.25">
      <c r="A788" t="s">
        <v>287</v>
      </c>
      <c r="B788">
        <v>1236</v>
      </c>
      <c r="C788" s="26">
        <v>46051.559687499997</v>
      </c>
      <c r="D788">
        <v>3.85</v>
      </c>
      <c r="E788" t="s">
        <v>82</v>
      </c>
      <c r="F788" t="str">
        <f>RIGHT(Table_Query_from_SqlServer11[[#This Row],[item_id]],7)</f>
        <v>A26-522</v>
      </c>
    </row>
    <row r="789" spans="1:6" x14ac:dyDescent="0.25">
      <c r="A789" t="s">
        <v>287</v>
      </c>
      <c r="B789">
        <v>1237</v>
      </c>
      <c r="C789" s="26">
        <v>46051.559687499997</v>
      </c>
      <c r="D789">
        <v>3.15</v>
      </c>
      <c r="E789" t="s">
        <v>84</v>
      </c>
      <c r="F789" t="str">
        <f>RIGHT(Table_Query_from_SqlServer11[[#This Row],[item_id]],7)</f>
        <v>A26-522</v>
      </c>
    </row>
    <row r="790" spans="1:6" x14ac:dyDescent="0.25">
      <c r="A790" t="s">
        <v>288</v>
      </c>
      <c r="B790">
        <v>1236</v>
      </c>
      <c r="C790" s="26">
        <v>46069.356666666667</v>
      </c>
      <c r="D790">
        <v>2.15</v>
      </c>
      <c r="E790" t="s">
        <v>82</v>
      </c>
      <c r="F790" t="str">
        <f>RIGHT(Table_Query_from_SqlServer11[[#This Row],[item_id]],7)</f>
        <v>A26-523</v>
      </c>
    </row>
    <row r="791" spans="1:6" x14ac:dyDescent="0.25">
      <c r="A791" t="s">
        <v>288</v>
      </c>
      <c r="B791">
        <v>1237</v>
      </c>
      <c r="C791" s="26">
        <v>46069.356759259259</v>
      </c>
      <c r="D791">
        <v>2.69</v>
      </c>
      <c r="E791" t="s">
        <v>84</v>
      </c>
      <c r="F791" t="str">
        <f>RIGHT(Table_Query_from_SqlServer11[[#This Row],[item_id]],7)</f>
        <v>A26-523</v>
      </c>
    </row>
    <row r="792" spans="1:6" x14ac:dyDescent="0.25">
      <c r="A792" t="s">
        <v>288</v>
      </c>
      <c r="B792">
        <v>906</v>
      </c>
      <c r="C792" s="26">
        <v>46078.4844212963</v>
      </c>
      <c r="D792">
        <v>4</v>
      </c>
      <c r="E792" t="s">
        <v>80</v>
      </c>
      <c r="F792" t="str">
        <f>RIGHT(Table_Query_from_SqlServer11[[#This Row],[item_id]],7)</f>
        <v>A26-523</v>
      </c>
    </row>
    <row r="793" spans="1:6" x14ac:dyDescent="0.25">
      <c r="A793" t="s">
        <v>288</v>
      </c>
      <c r="B793">
        <v>905</v>
      </c>
      <c r="C793" s="26">
        <v>46078.484143518515</v>
      </c>
      <c r="D793">
        <v>3.65</v>
      </c>
      <c r="E793" t="s">
        <v>78</v>
      </c>
      <c r="F793" t="str">
        <f>RIGHT(Table_Query_from_SqlServer11[[#This Row],[item_id]],7)</f>
        <v>A26-523</v>
      </c>
    </row>
    <row r="794" spans="1:6" x14ac:dyDescent="0.25">
      <c r="A794" t="s">
        <v>289</v>
      </c>
      <c r="B794">
        <v>905</v>
      </c>
      <c r="C794" s="26">
        <v>46075.705775462964</v>
      </c>
      <c r="D794">
        <v>1.72</v>
      </c>
      <c r="E794" t="s">
        <v>78</v>
      </c>
      <c r="F794" t="str">
        <f>RIGHT(Table_Query_from_SqlServer11[[#This Row],[item_id]],7)</f>
        <v>A26-524</v>
      </c>
    </row>
    <row r="795" spans="1:6" x14ac:dyDescent="0.25">
      <c r="A795" t="s">
        <v>289</v>
      </c>
      <c r="B795">
        <v>906</v>
      </c>
      <c r="C795" s="26">
        <v>46075.705775462964</v>
      </c>
      <c r="D795">
        <v>1.88</v>
      </c>
      <c r="E795" t="s">
        <v>80</v>
      </c>
      <c r="F795" t="str">
        <f>RIGHT(Table_Query_from_SqlServer11[[#This Row],[item_id]],7)</f>
        <v>A26-524</v>
      </c>
    </row>
    <row r="796" spans="1:6" x14ac:dyDescent="0.25">
      <c r="A796" t="s">
        <v>289</v>
      </c>
      <c r="B796">
        <v>1236</v>
      </c>
      <c r="C796" s="26">
        <v>46075.70107638889</v>
      </c>
      <c r="D796">
        <v>1.72</v>
      </c>
      <c r="E796" t="s">
        <v>82</v>
      </c>
      <c r="F796" t="str">
        <f>RIGHT(Table_Query_from_SqlServer11[[#This Row],[item_id]],7)</f>
        <v>A26-524</v>
      </c>
    </row>
    <row r="797" spans="1:6" x14ac:dyDescent="0.25">
      <c r="A797" t="s">
        <v>289</v>
      </c>
      <c r="B797">
        <v>1237</v>
      </c>
      <c r="C797" s="26">
        <v>46075.70107638889</v>
      </c>
      <c r="D797">
        <v>1.88</v>
      </c>
      <c r="E797" t="s">
        <v>84</v>
      </c>
      <c r="F797" t="str">
        <f>RIGHT(Table_Query_from_SqlServer11[[#This Row],[item_id]],7)</f>
        <v>A26-524</v>
      </c>
    </row>
    <row r="798" spans="1:6" x14ac:dyDescent="0.25">
      <c r="A798" t="s">
        <v>290</v>
      </c>
      <c r="B798">
        <v>1236</v>
      </c>
      <c r="C798" s="26">
        <v>46089.638923611114</v>
      </c>
      <c r="D798">
        <v>4.59</v>
      </c>
      <c r="E798" t="s">
        <v>82</v>
      </c>
      <c r="F798" t="str">
        <f>RIGHT(Table_Query_from_SqlServer11[[#This Row],[item_id]],7)</f>
        <v>A26-525</v>
      </c>
    </row>
    <row r="799" spans="1:6" x14ac:dyDescent="0.25">
      <c r="A799" t="s">
        <v>290</v>
      </c>
      <c r="B799">
        <v>1237</v>
      </c>
      <c r="C799" s="26">
        <v>46089.638923611114</v>
      </c>
      <c r="D799">
        <v>5.05</v>
      </c>
      <c r="E799" t="s">
        <v>84</v>
      </c>
      <c r="F799" t="str">
        <f>RIGHT(Table_Query_from_SqlServer11[[#This Row],[item_id]],7)</f>
        <v>A26-525</v>
      </c>
    </row>
    <row r="800" spans="1:6" x14ac:dyDescent="0.25">
      <c r="A800" t="s">
        <v>290</v>
      </c>
      <c r="B800">
        <v>906</v>
      </c>
      <c r="C800" s="26">
        <v>46097.563379629632</v>
      </c>
      <c r="D800">
        <v>5.31</v>
      </c>
      <c r="E800" t="s">
        <v>80</v>
      </c>
      <c r="F800" t="str">
        <f>RIGHT(Table_Query_from_SqlServer11[[#This Row],[item_id]],7)</f>
        <v>A26-525</v>
      </c>
    </row>
    <row r="801" spans="1:6" x14ac:dyDescent="0.25">
      <c r="A801" t="s">
        <v>290</v>
      </c>
      <c r="B801">
        <v>905</v>
      </c>
      <c r="C801" s="26">
        <v>46097.563078703701</v>
      </c>
      <c r="D801">
        <v>4.79</v>
      </c>
      <c r="E801" t="s">
        <v>78</v>
      </c>
      <c r="F801" t="str">
        <f>RIGHT(Table_Query_from_SqlServer11[[#This Row],[item_id]],7)</f>
        <v>A26-525</v>
      </c>
    </row>
    <row r="802" spans="1:6" x14ac:dyDescent="0.25">
      <c r="A802" t="s">
        <v>291</v>
      </c>
      <c r="B802">
        <v>905</v>
      </c>
      <c r="C802" s="26">
        <v>46111.358449074076</v>
      </c>
      <c r="D802">
        <v>5.57</v>
      </c>
      <c r="E802" t="s">
        <v>78</v>
      </c>
      <c r="F802" t="str">
        <f>RIGHT(Table_Query_from_SqlServer11[[#This Row],[item_id]],7)</f>
        <v>A26-526</v>
      </c>
    </row>
    <row r="803" spans="1:6" x14ac:dyDescent="0.25">
      <c r="A803" t="s">
        <v>291</v>
      </c>
      <c r="B803">
        <v>906</v>
      </c>
      <c r="C803" s="26">
        <v>46111.358668981484</v>
      </c>
      <c r="D803">
        <v>5.91</v>
      </c>
      <c r="E803" t="s">
        <v>80</v>
      </c>
      <c r="F803" t="str">
        <f>RIGHT(Table_Query_from_SqlServer11[[#This Row],[item_id]],7)</f>
        <v>A26-526</v>
      </c>
    </row>
    <row r="804" spans="1:6" x14ac:dyDescent="0.25">
      <c r="A804" t="s">
        <v>291</v>
      </c>
      <c r="B804">
        <v>1236</v>
      </c>
      <c r="C804" s="26">
        <v>46102.631909722222</v>
      </c>
      <c r="D804">
        <v>4.26</v>
      </c>
      <c r="E804" t="s">
        <v>82</v>
      </c>
      <c r="F804" t="str">
        <f>RIGHT(Table_Query_from_SqlServer11[[#This Row],[item_id]],7)</f>
        <v>A26-526</v>
      </c>
    </row>
    <row r="805" spans="1:6" x14ac:dyDescent="0.25">
      <c r="A805" t="s">
        <v>291</v>
      </c>
      <c r="B805">
        <v>1237</v>
      </c>
      <c r="C805" s="26">
        <v>46102.631909722222</v>
      </c>
      <c r="D805">
        <v>4.76</v>
      </c>
      <c r="E805" t="s">
        <v>84</v>
      </c>
      <c r="F805" t="str">
        <f>RIGHT(Table_Query_from_SqlServer11[[#This Row],[item_id]],7)</f>
        <v>A26-526</v>
      </c>
    </row>
    <row r="806" spans="1:6" x14ac:dyDescent="0.25">
      <c r="A806" t="s">
        <v>292</v>
      </c>
      <c r="B806">
        <v>1236</v>
      </c>
      <c r="C806" s="26">
        <v>46114.419062499997</v>
      </c>
      <c r="D806">
        <v>0.28000000000000003</v>
      </c>
      <c r="E806" t="s">
        <v>82</v>
      </c>
      <c r="F806" t="str">
        <f>RIGHT(Table_Query_from_SqlServer11[[#This Row],[item_id]],7)</f>
        <v>A26-527</v>
      </c>
    </row>
    <row r="807" spans="1:6" x14ac:dyDescent="0.25">
      <c r="A807" t="s">
        <v>292</v>
      </c>
      <c r="B807">
        <v>1237</v>
      </c>
      <c r="C807" s="26">
        <v>46114.419062499997</v>
      </c>
      <c r="D807">
        <v>0.28999999999999998</v>
      </c>
      <c r="E807" t="s">
        <v>84</v>
      </c>
      <c r="F807" t="str">
        <f>RIGHT(Table_Query_from_SqlServer11[[#This Row],[item_id]],7)</f>
        <v>A26-527</v>
      </c>
    </row>
    <row r="808" spans="1:6" x14ac:dyDescent="0.25">
      <c r="A808" t="s">
        <v>292</v>
      </c>
      <c r="B808">
        <v>906</v>
      </c>
      <c r="C808" s="26">
        <v>46120.593229166669</v>
      </c>
      <c r="D808">
        <v>0.49</v>
      </c>
      <c r="E808" t="s">
        <v>80</v>
      </c>
      <c r="F808" t="str">
        <f>RIGHT(Table_Query_from_SqlServer11[[#This Row],[item_id]],7)</f>
        <v>A26-527</v>
      </c>
    </row>
    <row r="809" spans="1:6" x14ac:dyDescent="0.25">
      <c r="A809" t="s">
        <v>292</v>
      </c>
      <c r="B809">
        <v>905</v>
      </c>
      <c r="C809" s="26">
        <v>46120.592928240738</v>
      </c>
      <c r="D809">
        <v>0.53</v>
      </c>
      <c r="E809" t="s">
        <v>78</v>
      </c>
      <c r="F809" t="str">
        <f>RIGHT(Table_Query_from_SqlServer11[[#This Row],[item_id]],7)</f>
        <v>A26-527</v>
      </c>
    </row>
    <row r="810" spans="1:6" x14ac:dyDescent="0.25">
      <c r="A810" t="s">
        <v>293</v>
      </c>
      <c r="B810">
        <v>905</v>
      </c>
      <c r="C810" s="26">
        <v>46140.389108796298</v>
      </c>
      <c r="D810">
        <v>3.41</v>
      </c>
      <c r="E810" t="s">
        <v>78</v>
      </c>
      <c r="F810" t="str">
        <f>RIGHT(Table_Query_from_SqlServer11[[#This Row],[item_id]],7)</f>
        <v>A26-528</v>
      </c>
    </row>
    <row r="811" spans="1:6" x14ac:dyDescent="0.25">
      <c r="A811" t="s">
        <v>293</v>
      </c>
      <c r="B811">
        <v>1236</v>
      </c>
      <c r="C811" s="26">
        <v>46132.357581018521</v>
      </c>
      <c r="D811">
        <v>1.84</v>
      </c>
      <c r="E811" t="s">
        <v>82</v>
      </c>
      <c r="F811" t="str">
        <f>RIGHT(Table_Query_from_SqlServer11[[#This Row],[item_id]],7)</f>
        <v>A26-528</v>
      </c>
    </row>
    <row r="812" spans="1:6" x14ac:dyDescent="0.25">
      <c r="A812" t="s">
        <v>293</v>
      </c>
      <c r="B812">
        <v>906</v>
      </c>
      <c r="C812" s="26">
        <v>46140.389409722222</v>
      </c>
      <c r="D812">
        <v>3.13</v>
      </c>
      <c r="E812" t="s">
        <v>80</v>
      </c>
      <c r="F812" t="str">
        <f>RIGHT(Table_Query_from_SqlServer11[[#This Row],[item_id]],7)</f>
        <v>A26-528</v>
      </c>
    </row>
    <row r="813" spans="1:6" x14ac:dyDescent="0.25">
      <c r="A813" t="s">
        <v>293</v>
      </c>
      <c r="B813">
        <v>1237</v>
      </c>
      <c r="C813" s="26">
        <v>46132.357835648145</v>
      </c>
      <c r="D813">
        <v>2.0499999999999998</v>
      </c>
      <c r="E813" t="s">
        <v>84</v>
      </c>
      <c r="F813" t="str">
        <f>RIGHT(Table_Query_from_SqlServer11[[#This Row],[item_id]],7)</f>
        <v>A26-528</v>
      </c>
    </row>
    <row r="814" spans="1:6" x14ac:dyDescent="0.25">
      <c r="A814" t="s">
        <v>294</v>
      </c>
      <c r="B814">
        <v>1236</v>
      </c>
      <c r="C814" s="26">
        <v>44891.441099537034</v>
      </c>
      <c r="D814">
        <v>4.2300000000000004</v>
      </c>
      <c r="E814" t="s">
        <v>82</v>
      </c>
      <c r="F814" t="str">
        <f>RIGHT(Table_Query_from_SqlServer11[[#This Row],[item_id]],7)</f>
        <v>A26-451</v>
      </c>
    </row>
    <row r="815" spans="1:6" x14ac:dyDescent="0.25">
      <c r="A815" t="s">
        <v>294</v>
      </c>
      <c r="B815">
        <v>1237</v>
      </c>
      <c r="C815" s="26">
        <v>44891.441099537034</v>
      </c>
      <c r="D815">
        <v>4.2300000000000004</v>
      </c>
      <c r="E815" t="s">
        <v>84</v>
      </c>
      <c r="F815" t="str">
        <f>RIGHT(Table_Query_from_SqlServer11[[#This Row],[item_id]],7)</f>
        <v>A26-451</v>
      </c>
    </row>
    <row r="816" spans="1:6" x14ac:dyDescent="0.25">
      <c r="A816" t="s">
        <v>294</v>
      </c>
      <c r="B816">
        <v>906</v>
      </c>
      <c r="C816" s="26">
        <v>44896.299884259257</v>
      </c>
      <c r="D816">
        <v>4.84</v>
      </c>
      <c r="E816" t="s">
        <v>80</v>
      </c>
      <c r="F816" t="str">
        <f>RIGHT(Table_Query_from_SqlServer11[[#This Row],[item_id]],7)</f>
        <v>A26-451</v>
      </c>
    </row>
    <row r="817" spans="1:6" x14ac:dyDescent="0.25">
      <c r="A817" t="s">
        <v>294</v>
      </c>
      <c r="B817">
        <v>905</v>
      </c>
      <c r="C817" s="26">
        <v>44896.299884259257</v>
      </c>
      <c r="D817">
        <v>5.05</v>
      </c>
      <c r="E817" t="s">
        <v>78</v>
      </c>
      <c r="F817" t="str">
        <f>RIGHT(Table_Query_from_SqlServer11[[#This Row],[item_id]],7)</f>
        <v>A26-451</v>
      </c>
    </row>
    <row r="818" spans="1:6" x14ac:dyDescent="0.25">
      <c r="A818" t="s">
        <v>295</v>
      </c>
      <c r="B818">
        <v>905</v>
      </c>
      <c r="C818" s="26">
        <v>44943.686215277776</v>
      </c>
      <c r="D818">
        <v>6.1</v>
      </c>
      <c r="E818" t="s">
        <v>78</v>
      </c>
      <c r="F818" t="str">
        <f>RIGHT(Table_Query_from_SqlServer11[[#This Row],[item_id]],7)</f>
        <v>A26-453</v>
      </c>
    </row>
    <row r="819" spans="1:6" x14ac:dyDescent="0.25">
      <c r="A819" t="s">
        <v>295</v>
      </c>
      <c r="B819">
        <v>906</v>
      </c>
      <c r="C819" s="26">
        <v>44943.686215277776</v>
      </c>
      <c r="D819">
        <v>6.2</v>
      </c>
      <c r="E819" t="s">
        <v>80</v>
      </c>
      <c r="F819" t="str">
        <f>RIGHT(Table_Query_from_SqlServer11[[#This Row],[item_id]],7)</f>
        <v>A26-453</v>
      </c>
    </row>
    <row r="820" spans="1:6" x14ac:dyDescent="0.25">
      <c r="A820" t="s">
        <v>295</v>
      </c>
      <c r="B820">
        <v>1236</v>
      </c>
      <c r="C820" s="26">
        <v>44935.594351851854</v>
      </c>
      <c r="D820">
        <v>5.12</v>
      </c>
      <c r="E820" t="s">
        <v>82</v>
      </c>
      <c r="F820" t="str">
        <f>RIGHT(Table_Query_from_SqlServer11[[#This Row],[item_id]],7)</f>
        <v>A26-453</v>
      </c>
    </row>
    <row r="821" spans="1:6" x14ac:dyDescent="0.25">
      <c r="A821" t="s">
        <v>295</v>
      </c>
      <c r="B821">
        <v>1237</v>
      </c>
      <c r="C821" s="26">
        <v>44935.594548611109</v>
      </c>
      <c r="D821">
        <v>5.19</v>
      </c>
      <c r="E821" t="s">
        <v>84</v>
      </c>
      <c r="F821" t="str">
        <f>RIGHT(Table_Query_from_SqlServer11[[#This Row],[item_id]],7)</f>
        <v>A26-453</v>
      </c>
    </row>
    <row r="822" spans="1:6" x14ac:dyDescent="0.25">
      <c r="A822" t="s">
        <v>296</v>
      </c>
      <c r="B822">
        <v>1237</v>
      </c>
      <c r="C822" s="26">
        <v>45005.632997685185</v>
      </c>
      <c r="D822">
        <v>5.08</v>
      </c>
      <c r="E822" t="s">
        <v>84</v>
      </c>
      <c r="F822" t="str">
        <f>RIGHT(Table_Query_from_SqlServer11[[#This Row],[item_id]],7)</f>
        <v>A26-457</v>
      </c>
    </row>
    <row r="823" spans="1:6" x14ac:dyDescent="0.25">
      <c r="A823" t="s">
        <v>296</v>
      </c>
      <c r="B823">
        <v>1236</v>
      </c>
      <c r="C823" s="26">
        <v>45005.632743055554</v>
      </c>
      <c r="D823">
        <v>5.03</v>
      </c>
      <c r="E823" t="s">
        <v>82</v>
      </c>
      <c r="F823" t="str">
        <f>RIGHT(Table_Query_from_SqlServer11[[#This Row],[item_id]],7)</f>
        <v>A26-457</v>
      </c>
    </row>
    <row r="824" spans="1:6" x14ac:dyDescent="0.25">
      <c r="A824" t="s">
        <v>296</v>
      </c>
      <c r="B824">
        <v>906</v>
      </c>
      <c r="C824" s="26">
        <v>45013.746354166666</v>
      </c>
      <c r="D824">
        <v>5.76</v>
      </c>
      <c r="E824" t="s">
        <v>80</v>
      </c>
      <c r="F824" t="str">
        <f>RIGHT(Table_Query_from_SqlServer11[[#This Row],[item_id]],7)</f>
        <v>A26-457</v>
      </c>
    </row>
    <row r="825" spans="1:6" x14ac:dyDescent="0.25">
      <c r="A825" t="s">
        <v>296</v>
      </c>
      <c r="B825">
        <v>905</v>
      </c>
      <c r="C825" s="26">
        <v>45013.746354166666</v>
      </c>
      <c r="D825">
        <v>5.79</v>
      </c>
      <c r="E825" t="s">
        <v>78</v>
      </c>
      <c r="F825" t="str">
        <f>RIGHT(Table_Query_from_SqlServer11[[#This Row],[item_id]],7)</f>
        <v>A26-457</v>
      </c>
    </row>
    <row r="826" spans="1:6" x14ac:dyDescent="0.25">
      <c r="A826" t="s">
        <v>297</v>
      </c>
      <c r="B826">
        <v>905</v>
      </c>
      <c r="C826" s="26">
        <v>45054.479328703703</v>
      </c>
      <c r="D826">
        <v>5.48</v>
      </c>
      <c r="E826" t="s">
        <v>78</v>
      </c>
      <c r="F826" t="str">
        <f>RIGHT(Table_Query_from_SqlServer11[[#This Row],[item_id]],7)</f>
        <v>A26-458</v>
      </c>
    </row>
    <row r="827" spans="1:6" x14ac:dyDescent="0.25">
      <c r="A827" t="s">
        <v>297</v>
      </c>
      <c r="B827">
        <v>906</v>
      </c>
      <c r="C827" s="26">
        <v>45054.479479166665</v>
      </c>
      <c r="D827">
        <v>5.5</v>
      </c>
      <c r="E827" t="s">
        <v>80</v>
      </c>
      <c r="F827" t="str">
        <f>RIGHT(Table_Query_from_SqlServer11[[#This Row],[item_id]],7)</f>
        <v>A26-458</v>
      </c>
    </row>
    <row r="828" spans="1:6" x14ac:dyDescent="0.25">
      <c r="A828" t="s">
        <v>297</v>
      </c>
      <c r="B828">
        <v>1236</v>
      </c>
      <c r="C828" s="26">
        <v>45044.474189814813</v>
      </c>
      <c r="D828">
        <v>4.59</v>
      </c>
      <c r="E828" t="s">
        <v>82</v>
      </c>
      <c r="F828" t="str">
        <f>RIGHT(Table_Query_from_SqlServer11[[#This Row],[item_id]],7)</f>
        <v>A26-458</v>
      </c>
    </row>
    <row r="829" spans="1:6" x14ac:dyDescent="0.25">
      <c r="A829" t="s">
        <v>297</v>
      </c>
      <c r="B829">
        <v>1237</v>
      </c>
      <c r="C829" s="26">
        <v>45044.474189814813</v>
      </c>
      <c r="D829">
        <v>4.6500000000000004</v>
      </c>
      <c r="E829" t="s">
        <v>84</v>
      </c>
      <c r="F829" t="str">
        <f>RIGHT(Table_Query_from_SqlServer11[[#This Row],[item_id]],7)</f>
        <v>A26-458</v>
      </c>
    </row>
    <row r="830" spans="1:6" x14ac:dyDescent="0.25">
      <c r="A830" t="s">
        <v>298</v>
      </c>
      <c r="B830">
        <v>906</v>
      </c>
      <c r="C830" s="26">
        <v>45048.326979166668</v>
      </c>
      <c r="D830">
        <v>5.59</v>
      </c>
      <c r="E830" t="s">
        <v>80</v>
      </c>
      <c r="F830" t="str">
        <f>RIGHT(Table_Query_from_SqlServer11[[#This Row],[item_id]],7)</f>
        <v>A26-459</v>
      </c>
    </row>
    <row r="831" spans="1:6" x14ac:dyDescent="0.25">
      <c r="A831" t="s">
        <v>298</v>
      </c>
      <c r="B831">
        <v>905</v>
      </c>
      <c r="C831" s="26">
        <v>45048.326840277776</v>
      </c>
      <c r="D831">
        <v>5.68</v>
      </c>
      <c r="E831" t="s">
        <v>78</v>
      </c>
      <c r="F831" t="str">
        <f>RIGHT(Table_Query_from_SqlServer11[[#This Row],[item_id]],7)</f>
        <v>A26-459</v>
      </c>
    </row>
    <row r="832" spans="1:6" x14ac:dyDescent="0.25">
      <c r="A832" t="s">
        <v>298</v>
      </c>
      <c r="B832">
        <v>1236</v>
      </c>
      <c r="C832" s="26">
        <v>45037.392870370371</v>
      </c>
      <c r="D832">
        <v>0.627</v>
      </c>
      <c r="E832" t="s">
        <v>82</v>
      </c>
      <c r="F832" t="str">
        <f>RIGHT(Table_Query_from_SqlServer11[[#This Row],[item_id]],7)</f>
        <v>A26-459</v>
      </c>
    </row>
    <row r="833" spans="1:6" x14ac:dyDescent="0.25">
      <c r="A833" t="s">
        <v>298</v>
      </c>
      <c r="B833">
        <v>1237</v>
      </c>
      <c r="C833" s="26">
        <v>45037.392870370371</v>
      </c>
      <c r="D833">
        <v>0.63600000000000001</v>
      </c>
      <c r="E833" t="s">
        <v>84</v>
      </c>
      <c r="F833" t="str">
        <f>RIGHT(Table_Query_from_SqlServer11[[#This Row],[item_id]],7)</f>
        <v>A26-459</v>
      </c>
    </row>
    <row r="834" spans="1:6" x14ac:dyDescent="0.25">
      <c r="A834" t="s">
        <v>299</v>
      </c>
      <c r="B834">
        <v>1236</v>
      </c>
      <c r="C834" s="26">
        <v>45262.429293981484</v>
      </c>
      <c r="D834">
        <v>0.89</v>
      </c>
      <c r="E834" t="s">
        <v>82</v>
      </c>
      <c r="F834" t="str">
        <f>RIGHT(Table_Query_from_SqlServer11[[#This Row],[item_id]],7)</f>
        <v>A26-473</v>
      </c>
    </row>
    <row r="835" spans="1:6" x14ac:dyDescent="0.25">
      <c r="A835" t="s">
        <v>299</v>
      </c>
      <c r="B835">
        <v>1237</v>
      </c>
      <c r="C835" s="26">
        <v>45262.429293981484</v>
      </c>
      <c r="D835">
        <v>0.9</v>
      </c>
      <c r="E835" t="s">
        <v>84</v>
      </c>
      <c r="F835" t="str">
        <f>RIGHT(Table_Query_from_SqlServer11[[#This Row],[item_id]],7)</f>
        <v>A26-473</v>
      </c>
    </row>
    <row r="836" spans="1:6" x14ac:dyDescent="0.25">
      <c r="A836" t="s">
        <v>300</v>
      </c>
      <c r="B836">
        <v>906</v>
      </c>
      <c r="C836" s="26">
        <v>45520.385023148148</v>
      </c>
      <c r="D836">
        <v>5.7</v>
      </c>
      <c r="E836" t="s">
        <v>80</v>
      </c>
      <c r="F836" t="str">
        <f>RIGHT(Table_Query_from_SqlServer11[[#This Row],[item_id]],7)</f>
        <v>A26-488</v>
      </c>
    </row>
    <row r="837" spans="1:6" x14ac:dyDescent="0.25">
      <c r="A837" t="s">
        <v>300</v>
      </c>
      <c r="B837">
        <v>1236</v>
      </c>
      <c r="C837" s="26">
        <v>45506.584768518522</v>
      </c>
      <c r="D837">
        <v>4.82</v>
      </c>
      <c r="E837" t="s">
        <v>82</v>
      </c>
      <c r="F837" t="str">
        <f>RIGHT(Table_Query_from_SqlServer11[[#This Row],[item_id]],7)</f>
        <v>A26-488</v>
      </c>
    </row>
    <row r="838" spans="1:6" x14ac:dyDescent="0.25">
      <c r="A838" t="s">
        <v>300</v>
      </c>
      <c r="B838">
        <v>1237</v>
      </c>
      <c r="C838" s="26">
        <v>45506.584907407407</v>
      </c>
      <c r="D838">
        <v>5.04</v>
      </c>
      <c r="E838" t="s">
        <v>84</v>
      </c>
      <c r="F838" t="str">
        <f>RIGHT(Table_Query_from_SqlServer11[[#This Row],[item_id]],7)</f>
        <v>A26-488</v>
      </c>
    </row>
    <row r="839" spans="1:6" x14ac:dyDescent="0.25">
      <c r="A839" t="s">
        <v>300</v>
      </c>
      <c r="B839">
        <v>905</v>
      </c>
      <c r="C839" s="26">
        <v>45520.384560185186</v>
      </c>
      <c r="D839">
        <v>5.51</v>
      </c>
      <c r="E839" t="s">
        <v>78</v>
      </c>
      <c r="F839" t="str">
        <f>RIGHT(Table_Query_from_SqlServer11[[#This Row],[item_id]],7)</f>
        <v>A26-488</v>
      </c>
    </row>
    <row r="840" spans="1:6" x14ac:dyDescent="0.25">
      <c r="A840" t="s">
        <v>301</v>
      </c>
      <c r="B840">
        <v>1236</v>
      </c>
      <c r="C840" s="26">
        <v>44891.441296296296</v>
      </c>
      <c r="D840">
        <v>3</v>
      </c>
      <c r="E840" t="s">
        <v>82</v>
      </c>
      <c r="F840" t="str">
        <f>RIGHT(Table_Query_from_SqlServer11[[#This Row],[item_id]],7)</f>
        <v>A26-451</v>
      </c>
    </row>
    <row r="841" spans="1:6" x14ac:dyDescent="0.25">
      <c r="A841" t="s">
        <v>301</v>
      </c>
      <c r="B841">
        <v>1237</v>
      </c>
      <c r="C841" s="26">
        <v>44891.441296296296</v>
      </c>
      <c r="D841">
        <v>3.37</v>
      </c>
      <c r="E841" t="s">
        <v>84</v>
      </c>
      <c r="F841" t="str">
        <f>RIGHT(Table_Query_from_SqlServer11[[#This Row],[item_id]],7)</f>
        <v>A26-451</v>
      </c>
    </row>
    <row r="842" spans="1:6" x14ac:dyDescent="0.25">
      <c r="A842" t="s">
        <v>301</v>
      </c>
      <c r="B842">
        <v>905</v>
      </c>
      <c r="C842" s="26">
        <v>44896.299583333333</v>
      </c>
      <c r="D842">
        <v>5.3</v>
      </c>
      <c r="E842" t="s">
        <v>78</v>
      </c>
      <c r="F842" t="str">
        <f>RIGHT(Table_Query_from_SqlServer11[[#This Row],[item_id]],7)</f>
        <v>A26-451</v>
      </c>
    </row>
    <row r="843" spans="1:6" x14ac:dyDescent="0.25">
      <c r="A843" t="s">
        <v>301</v>
      </c>
      <c r="B843">
        <v>906</v>
      </c>
      <c r="C843" s="26">
        <v>44896.299583333333</v>
      </c>
      <c r="D843">
        <v>5.47</v>
      </c>
      <c r="E843" t="s">
        <v>80</v>
      </c>
      <c r="F843" t="str">
        <f>RIGHT(Table_Query_from_SqlServer11[[#This Row],[item_id]],7)</f>
        <v>A26-451</v>
      </c>
    </row>
    <row r="844" spans="1:6" x14ac:dyDescent="0.25">
      <c r="A844" t="s">
        <v>302</v>
      </c>
      <c r="B844">
        <v>906</v>
      </c>
      <c r="C844" s="26">
        <v>44943.68645833333</v>
      </c>
      <c r="D844">
        <v>6.49</v>
      </c>
      <c r="E844" t="s">
        <v>80</v>
      </c>
      <c r="F844" t="str">
        <f>RIGHT(Table_Query_from_SqlServer11[[#This Row],[item_id]],7)</f>
        <v>A26-453</v>
      </c>
    </row>
    <row r="845" spans="1:6" x14ac:dyDescent="0.25">
      <c r="A845" t="s">
        <v>302</v>
      </c>
      <c r="B845">
        <v>905</v>
      </c>
      <c r="C845" s="26">
        <v>44943.68645833333</v>
      </c>
      <c r="D845">
        <v>6.1</v>
      </c>
      <c r="E845" t="s">
        <v>78</v>
      </c>
      <c r="F845" t="str">
        <f>RIGHT(Table_Query_from_SqlServer11[[#This Row],[item_id]],7)</f>
        <v>A26-453</v>
      </c>
    </row>
    <row r="846" spans="1:6" x14ac:dyDescent="0.25">
      <c r="A846" t="s">
        <v>302</v>
      </c>
      <c r="B846">
        <v>1237</v>
      </c>
      <c r="C846" s="26">
        <v>44935.594699074078</v>
      </c>
      <c r="D846">
        <v>4.3499999999999996</v>
      </c>
      <c r="E846" t="s">
        <v>84</v>
      </c>
      <c r="F846" t="str">
        <f>RIGHT(Table_Query_from_SqlServer11[[#This Row],[item_id]],7)</f>
        <v>A26-453</v>
      </c>
    </row>
    <row r="847" spans="1:6" x14ac:dyDescent="0.25">
      <c r="A847" t="s">
        <v>302</v>
      </c>
      <c r="B847">
        <v>1236</v>
      </c>
      <c r="C847" s="26">
        <v>44935.594456018516</v>
      </c>
      <c r="D847">
        <v>3.58</v>
      </c>
      <c r="E847" t="s">
        <v>82</v>
      </c>
      <c r="F847" t="str">
        <f>RIGHT(Table_Query_from_SqlServer11[[#This Row],[item_id]],7)</f>
        <v>A26-453</v>
      </c>
    </row>
    <row r="848" spans="1:6" x14ac:dyDescent="0.25">
      <c r="A848" t="s">
        <v>303</v>
      </c>
      <c r="B848">
        <v>1237</v>
      </c>
      <c r="C848" s="26">
        <v>45005.633159722223</v>
      </c>
      <c r="D848">
        <v>4.1900000000000004</v>
      </c>
      <c r="E848" t="s">
        <v>84</v>
      </c>
      <c r="F848" t="str">
        <f>RIGHT(Table_Query_from_SqlServer11[[#This Row],[item_id]],7)</f>
        <v>A26-457</v>
      </c>
    </row>
    <row r="849" spans="1:6" x14ac:dyDescent="0.25">
      <c r="A849" t="s">
        <v>303</v>
      </c>
      <c r="B849">
        <v>1236</v>
      </c>
      <c r="C849" s="26">
        <v>45005.632870370369</v>
      </c>
      <c r="D849">
        <v>3.58</v>
      </c>
      <c r="E849" t="s">
        <v>82</v>
      </c>
      <c r="F849" t="str">
        <f>RIGHT(Table_Query_from_SqlServer11[[#This Row],[item_id]],7)</f>
        <v>A26-457</v>
      </c>
    </row>
    <row r="850" spans="1:6" x14ac:dyDescent="0.25">
      <c r="A850" t="s">
        <v>303</v>
      </c>
      <c r="B850">
        <v>905</v>
      </c>
      <c r="C850" s="26">
        <v>45013.74664351852</v>
      </c>
      <c r="D850">
        <v>5.97</v>
      </c>
      <c r="E850" t="s">
        <v>78</v>
      </c>
      <c r="F850" t="str">
        <f>RIGHT(Table_Query_from_SqlServer11[[#This Row],[item_id]],7)</f>
        <v>A26-457</v>
      </c>
    </row>
    <row r="851" spans="1:6" x14ac:dyDescent="0.25">
      <c r="A851" t="s">
        <v>303</v>
      </c>
      <c r="B851">
        <v>906</v>
      </c>
      <c r="C851" s="26">
        <v>45013.74664351852</v>
      </c>
      <c r="D851">
        <v>6.1</v>
      </c>
      <c r="E851" t="s">
        <v>80</v>
      </c>
      <c r="F851" t="str">
        <f>RIGHT(Table_Query_from_SqlServer11[[#This Row],[item_id]],7)</f>
        <v>A26-457</v>
      </c>
    </row>
    <row r="852" spans="1:6" x14ac:dyDescent="0.25">
      <c r="A852" t="s">
        <v>304</v>
      </c>
      <c r="B852">
        <v>906</v>
      </c>
      <c r="C852" s="26">
        <v>45054.47997685185</v>
      </c>
      <c r="D852">
        <v>5.46</v>
      </c>
      <c r="E852" t="s">
        <v>80</v>
      </c>
      <c r="F852" t="str">
        <f>RIGHT(Table_Query_from_SqlServer11[[#This Row],[item_id]],7)</f>
        <v>A26-458</v>
      </c>
    </row>
    <row r="853" spans="1:6" x14ac:dyDescent="0.25">
      <c r="A853" t="s">
        <v>304</v>
      </c>
      <c r="B853">
        <v>905</v>
      </c>
      <c r="C853" s="26">
        <v>45054.479826388888</v>
      </c>
      <c r="D853">
        <v>5.47</v>
      </c>
      <c r="E853" t="s">
        <v>78</v>
      </c>
      <c r="F853" t="str">
        <f>RIGHT(Table_Query_from_SqlServer11[[#This Row],[item_id]],7)</f>
        <v>A26-458</v>
      </c>
    </row>
    <row r="854" spans="1:6" x14ac:dyDescent="0.25">
      <c r="A854" t="s">
        <v>304</v>
      </c>
      <c r="B854">
        <v>1236</v>
      </c>
      <c r="C854" s="26">
        <v>45044.478807870371</v>
      </c>
      <c r="D854">
        <v>3.26</v>
      </c>
      <c r="E854" t="s">
        <v>82</v>
      </c>
      <c r="F854" t="str">
        <f>RIGHT(Table_Query_from_SqlServer11[[#This Row],[item_id]],7)</f>
        <v>A26-458</v>
      </c>
    </row>
    <row r="855" spans="1:6" x14ac:dyDescent="0.25">
      <c r="A855" t="s">
        <v>304</v>
      </c>
      <c r="B855">
        <v>1237</v>
      </c>
      <c r="C855" s="26">
        <v>45044.478807870371</v>
      </c>
      <c r="D855">
        <v>4.1100000000000003</v>
      </c>
      <c r="E855" t="s">
        <v>84</v>
      </c>
      <c r="F855" t="str">
        <f>RIGHT(Table_Query_from_SqlServer11[[#This Row],[item_id]],7)</f>
        <v>A26-458</v>
      </c>
    </row>
    <row r="856" spans="1:6" x14ac:dyDescent="0.25">
      <c r="A856" t="s">
        <v>305</v>
      </c>
      <c r="B856">
        <v>905</v>
      </c>
      <c r="C856" s="26">
        <v>45048.327118055553</v>
      </c>
      <c r="D856">
        <v>5.69</v>
      </c>
      <c r="E856" t="s">
        <v>78</v>
      </c>
      <c r="F856" t="str">
        <f>RIGHT(Table_Query_from_SqlServer11[[#This Row],[item_id]],7)</f>
        <v>A26-459</v>
      </c>
    </row>
    <row r="857" spans="1:6" x14ac:dyDescent="0.25">
      <c r="A857" t="s">
        <v>305</v>
      </c>
      <c r="B857">
        <v>906</v>
      </c>
      <c r="C857" s="26">
        <v>45048.327303240738</v>
      </c>
      <c r="D857">
        <v>5.72</v>
      </c>
      <c r="E857" t="s">
        <v>80</v>
      </c>
      <c r="F857" t="str">
        <f>RIGHT(Table_Query_from_SqlServer11[[#This Row],[item_id]],7)</f>
        <v>A26-459</v>
      </c>
    </row>
    <row r="858" spans="1:6" x14ac:dyDescent="0.25">
      <c r="A858" t="s">
        <v>305</v>
      </c>
      <c r="B858">
        <v>1236</v>
      </c>
      <c r="C858" s="26">
        <v>45037.393009259256</v>
      </c>
      <c r="D858">
        <v>0.44400000000000001</v>
      </c>
      <c r="E858" t="s">
        <v>82</v>
      </c>
      <c r="F858" t="str">
        <f>RIGHT(Table_Query_from_SqlServer11[[#This Row],[item_id]],7)</f>
        <v>A26-459</v>
      </c>
    </row>
    <row r="859" spans="1:6" x14ac:dyDescent="0.25">
      <c r="A859" t="s">
        <v>305</v>
      </c>
      <c r="B859">
        <v>1237</v>
      </c>
      <c r="C859" s="26">
        <v>45037.393009259256</v>
      </c>
      <c r="D859">
        <v>0.503</v>
      </c>
      <c r="E859" t="s">
        <v>84</v>
      </c>
      <c r="F859" t="str">
        <f>RIGHT(Table_Query_from_SqlServer11[[#This Row],[item_id]],7)</f>
        <v>A26-459</v>
      </c>
    </row>
    <row r="860" spans="1:6" x14ac:dyDescent="0.25">
      <c r="A860" t="s">
        <v>306</v>
      </c>
      <c r="B860">
        <v>1236</v>
      </c>
      <c r="C860" s="26">
        <v>45262.429513888892</v>
      </c>
      <c r="D860">
        <v>0.59</v>
      </c>
      <c r="E860" t="s">
        <v>82</v>
      </c>
      <c r="F860" t="str">
        <f>RIGHT(Table_Query_from_SqlServer11[[#This Row],[item_id]],7)</f>
        <v>A26-473</v>
      </c>
    </row>
    <row r="861" spans="1:6" x14ac:dyDescent="0.25">
      <c r="A861" t="s">
        <v>306</v>
      </c>
      <c r="B861">
        <v>1237</v>
      </c>
      <c r="C861" s="26">
        <v>45262.429513888892</v>
      </c>
      <c r="D861">
        <v>0.71</v>
      </c>
      <c r="E861" t="s">
        <v>84</v>
      </c>
      <c r="F861" t="str">
        <f>RIGHT(Table_Query_from_SqlServer11[[#This Row],[item_id]],7)</f>
        <v>A26-473</v>
      </c>
    </row>
    <row r="862" spans="1:6" x14ac:dyDescent="0.25">
      <c r="A862" t="s">
        <v>307</v>
      </c>
      <c r="B862">
        <v>1236</v>
      </c>
      <c r="C862" s="26">
        <v>45506.585115740738</v>
      </c>
      <c r="D862">
        <v>3.69</v>
      </c>
      <c r="E862" t="s">
        <v>82</v>
      </c>
      <c r="F862" t="str">
        <f>RIGHT(Table_Query_from_SqlServer11[[#This Row],[item_id]],7)</f>
        <v>A26-488</v>
      </c>
    </row>
    <row r="863" spans="1:6" x14ac:dyDescent="0.25">
      <c r="A863" t="s">
        <v>307</v>
      </c>
      <c r="B863">
        <v>1237</v>
      </c>
      <c r="C863" s="26">
        <v>45506.585115740738</v>
      </c>
      <c r="D863">
        <v>4.29</v>
      </c>
      <c r="E863" t="s">
        <v>84</v>
      </c>
      <c r="F863" t="str">
        <f>RIGHT(Table_Query_from_SqlServer11[[#This Row],[item_id]],7)</f>
        <v>A26-488</v>
      </c>
    </row>
    <row r="864" spans="1:6" x14ac:dyDescent="0.25">
      <c r="A864" t="s">
        <v>307</v>
      </c>
      <c r="B864">
        <v>906</v>
      </c>
      <c r="C864" s="26">
        <v>45520.385104166664</v>
      </c>
      <c r="D864">
        <v>5.89</v>
      </c>
      <c r="E864" t="s">
        <v>80</v>
      </c>
      <c r="F864" t="str">
        <f>RIGHT(Table_Query_from_SqlServer11[[#This Row],[item_id]],7)</f>
        <v>A26-488</v>
      </c>
    </row>
    <row r="865" spans="1:6" x14ac:dyDescent="0.25">
      <c r="A865" t="s">
        <v>307</v>
      </c>
      <c r="B865">
        <v>905</v>
      </c>
      <c r="C865" s="26">
        <v>45520.384780092594</v>
      </c>
      <c r="D865">
        <v>5.65</v>
      </c>
      <c r="E865" t="s">
        <v>78</v>
      </c>
      <c r="F865" t="str">
        <f>RIGHT(Table_Query_from_SqlServer11[[#This Row],[item_id]],7)</f>
        <v>A26-488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Cr4+</vt:lpstr>
      <vt:lpstr>Inventory</vt:lpstr>
      <vt:lpstr>Calculator</vt:lpstr>
      <vt:lpstr>Data</vt:lpstr>
    </vt:vector>
  </TitlesOfParts>
  <Company>Northrop Grumman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Everhart, Michael [US] (SP)</dc:creator>
  <cp:lastModifiedBy>Everhart, Michael [US] (SP)</cp:lastModifiedBy>
  <dcterms:created xsi:type="dcterms:W3CDTF">2026-04-29T18:25:37Z</dcterms:created>
  <dcterms:modified xsi:type="dcterms:W3CDTF">2026-05-04T13:28:22Z</dcterms:modified>
</cp:coreProperties>
</file>