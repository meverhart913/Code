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Bonded Removals\"/>
    </mc:Choice>
  </mc:AlternateContent>
  <xr:revisionPtr revIDLastSave="0" documentId="8_{D36B5DA9-8D3C-4C05-9A3A-553B187ABFF1}" xr6:coauthVersionLast="47" xr6:coauthVersionMax="47" xr10:uidLastSave="{00000000-0000-0000-0000-000000000000}"/>
  <bookViews>
    <workbookView xWindow="-120" yWindow="-120" windowWidth="29040" windowHeight="15720" activeTab="3" xr2:uid="{51FA5F19-746C-4384-B487-C5D26833121C}"/>
  </bookViews>
  <sheets>
    <sheet name="Main" sheetId="7" r:id="rId1"/>
    <sheet name="Measurements" sheetId="2" state="hidden" r:id="rId2"/>
    <sheet name="Removal Sheet" sheetId="4" state="hidden" r:id="rId3"/>
    <sheet name="RF Sheet" sheetId="5" r:id="rId4"/>
    <sheet name="Calculations" sheetId="3" state="hidden" r:id="rId5"/>
    <sheet name="Change Log" sheetId="6" state="hidden" r:id="rId6"/>
  </sheets>
  <definedNames>
    <definedName name="_xlnm._FilterDatabase" localSheetId="3" hidden="1">'RF Sheet'!$A$8:$J$31</definedName>
    <definedName name="Query_from_Venus" localSheetId="4" hidden="1">Calculations!$D$1:$J$2</definedName>
    <definedName name="Query_from_Venus" localSheetId="1" hidden="1">Measurements!$A$1:$I$85</definedName>
    <definedName name="Query_from_Venus" localSheetId="2" hidden="1">'Removal Sheet'!$B$1:$B$2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5" l="1"/>
  <c r="I4" i="5"/>
  <c r="Q35" i="4" l="1"/>
  <c r="C35" i="4" s="1"/>
  <c r="R35" i="4"/>
  <c r="D35" i="4" s="1"/>
  <c r="S35" i="4"/>
  <c r="L35" i="4" s="1"/>
  <c r="M35" i="4" s="1"/>
  <c r="Q36" i="4"/>
  <c r="C36" i="4" s="1"/>
  <c r="R36" i="4"/>
  <c r="D36" i="4" s="1"/>
  <c r="S36" i="4"/>
  <c r="L36" i="4" s="1"/>
  <c r="M36" i="4" s="1"/>
  <c r="Q37" i="4"/>
  <c r="C37" i="4" s="1"/>
  <c r="R37" i="4"/>
  <c r="D37" i="4" s="1"/>
  <c r="S37" i="4"/>
  <c r="L37" i="4" s="1"/>
  <c r="M37" i="4" s="1"/>
  <c r="Q38" i="4"/>
  <c r="C38" i="4" s="1"/>
  <c r="R38" i="4"/>
  <c r="D38" i="4" s="1"/>
  <c r="S38" i="4"/>
  <c r="L38" i="4" s="1"/>
  <c r="M38" i="4" s="1"/>
  <c r="Q39" i="4"/>
  <c r="C39" i="4" s="1"/>
  <c r="R39" i="4"/>
  <c r="D39" i="4" s="1"/>
  <c r="S39" i="4"/>
  <c r="L39" i="4" s="1"/>
  <c r="M39" i="4" s="1"/>
  <c r="Q40" i="4"/>
  <c r="C40" i="4" s="1"/>
  <c r="R40" i="4"/>
  <c r="D40" i="4" s="1"/>
  <c r="S40" i="4"/>
  <c r="L40" i="4" s="1"/>
  <c r="M40" i="4" s="1"/>
  <c r="Q41" i="4"/>
  <c r="C41" i="4" s="1"/>
  <c r="R41" i="4"/>
  <c r="D41" i="4" s="1"/>
  <c r="S41" i="4"/>
  <c r="L41" i="4" s="1"/>
  <c r="M41" i="4" s="1"/>
  <c r="Q42" i="4"/>
  <c r="C42" i="4" s="1"/>
  <c r="R42" i="4"/>
  <c r="D42" i="4" s="1"/>
  <c r="S42" i="4"/>
  <c r="L42" i="4" s="1"/>
  <c r="M42" i="4" s="1"/>
  <c r="Q43" i="4"/>
  <c r="C43" i="4" s="1"/>
  <c r="R43" i="4"/>
  <c r="D43" i="4" s="1"/>
  <c r="S43" i="4"/>
  <c r="L43" i="4" s="1"/>
  <c r="M43" i="4" s="1"/>
  <c r="Q44" i="4"/>
  <c r="C44" i="4" s="1"/>
  <c r="R44" i="4"/>
  <c r="D44" i="4" s="1"/>
  <c r="S44" i="4"/>
  <c r="L44" i="4" s="1"/>
  <c r="M44" i="4" s="1"/>
  <c r="Q45" i="4"/>
  <c r="C45" i="4" s="1"/>
  <c r="R45" i="4"/>
  <c r="D45" i="4" s="1"/>
  <c r="S45" i="4"/>
  <c r="L45" i="4" s="1"/>
  <c r="M45" i="4" s="1"/>
  <c r="Q46" i="4"/>
  <c r="C46" i="4" s="1"/>
  <c r="R46" i="4"/>
  <c r="D46" i="4" s="1"/>
  <c r="S46" i="4"/>
  <c r="L46" i="4" s="1"/>
  <c r="M46" i="4" s="1"/>
  <c r="Q47" i="4"/>
  <c r="C47" i="4" s="1"/>
  <c r="R47" i="4"/>
  <c r="D47" i="4" s="1"/>
  <c r="S47" i="4"/>
  <c r="L47" i="4" s="1"/>
  <c r="M47" i="4" s="1"/>
  <c r="Q48" i="4"/>
  <c r="C48" i="4" s="1"/>
  <c r="R48" i="4"/>
  <c r="D48" i="4" s="1"/>
  <c r="S48" i="4"/>
  <c r="L48" i="4" s="1"/>
  <c r="M48" i="4" s="1"/>
  <c r="Q49" i="4"/>
  <c r="C49" i="4" s="1"/>
  <c r="R49" i="4"/>
  <c r="D49" i="4" s="1"/>
  <c r="S49" i="4"/>
  <c r="L49" i="4" s="1"/>
  <c r="M49" i="4" s="1"/>
  <c r="Q50" i="4"/>
  <c r="C50" i="4" s="1"/>
  <c r="R50" i="4"/>
  <c r="D50" i="4" s="1"/>
  <c r="S50" i="4"/>
  <c r="L50" i="4" s="1"/>
  <c r="M50" i="4" s="1"/>
  <c r="Q51" i="4"/>
  <c r="C51" i="4" s="1"/>
  <c r="R51" i="4"/>
  <c r="D51" i="4" s="1"/>
  <c r="S51" i="4"/>
  <c r="L51" i="4" s="1"/>
  <c r="M51" i="4" s="1"/>
  <c r="Q52" i="4"/>
  <c r="C52" i="4" s="1"/>
  <c r="R52" i="4"/>
  <c r="D52" i="4" s="1"/>
  <c r="S52" i="4"/>
  <c r="L52" i="4" s="1"/>
  <c r="M52" i="4" s="1"/>
  <c r="Q53" i="4"/>
  <c r="C53" i="4" s="1"/>
  <c r="R53" i="4"/>
  <c r="D53" i="4" s="1"/>
  <c r="S53" i="4"/>
  <c r="L53" i="4" s="1"/>
  <c r="M53" i="4" s="1"/>
  <c r="A6" i="5"/>
  <c r="I7" i="5"/>
  <c r="Q19" i="4"/>
  <c r="C19" i="4" s="1"/>
  <c r="N38" i="4" l="1"/>
  <c r="P38" i="4" s="1"/>
  <c r="O38" i="4" s="1"/>
  <c r="E38" i="4" s="1"/>
  <c r="N47" i="4"/>
  <c r="P47" i="4" s="1"/>
  <c r="O47" i="4" s="1"/>
  <c r="N48" i="4"/>
  <c r="P48" i="4" s="1"/>
  <c r="O48" i="4" s="1"/>
  <c r="N51" i="4"/>
  <c r="P51" i="4" s="1"/>
  <c r="O51" i="4" s="1"/>
  <c r="N40" i="4"/>
  <c r="P40" i="4" s="1"/>
  <c r="O40" i="4" s="1"/>
  <c r="E40" i="4" s="1"/>
  <c r="N36" i="4"/>
  <c r="P36" i="4" s="1"/>
  <c r="O36" i="4" s="1"/>
  <c r="N39" i="4"/>
  <c r="P39" i="4" s="1"/>
  <c r="O39" i="4" s="1"/>
  <c r="N35" i="4"/>
  <c r="P35" i="4" s="1"/>
  <c r="O35" i="4" s="1"/>
  <c r="N46" i="4"/>
  <c r="P46" i="4" s="1"/>
  <c r="O46" i="4" s="1"/>
  <c r="E46" i="4" s="1"/>
  <c r="H49" i="4"/>
  <c r="I49" i="4" s="1"/>
  <c r="H38" i="4"/>
  <c r="I38" i="4" s="1"/>
  <c r="N52" i="4"/>
  <c r="P52" i="4" s="1"/>
  <c r="O52" i="4" s="1"/>
  <c r="E52" i="4" s="1"/>
  <c r="N49" i="4"/>
  <c r="P49" i="4" s="1"/>
  <c r="O49" i="4" s="1"/>
  <c r="E49" i="4" s="1"/>
  <c r="H45" i="4"/>
  <c r="I45" i="4" s="1"/>
  <c r="N37" i="4"/>
  <c r="P37" i="4" s="1"/>
  <c r="O37" i="4" s="1"/>
  <c r="E37" i="4" s="1"/>
  <c r="N45" i="4"/>
  <c r="P45" i="4" s="1"/>
  <c r="O45" i="4" s="1"/>
  <c r="H41" i="4"/>
  <c r="I41" i="4" s="1"/>
  <c r="H42" i="4"/>
  <c r="I42" i="4" s="1"/>
  <c r="N53" i="4"/>
  <c r="P53" i="4" s="1"/>
  <c r="O53" i="4" s="1"/>
  <c r="E53" i="4" s="1"/>
  <c r="H52" i="4"/>
  <c r="I52" i="4" s="1"/>
  <c r="N44" i="4"/>
  <c r="P44" i="4" s="1"/>
  <c r="O44" i="4" s="1"/>
  <c r="E44" i="4" s="1"/>
  <c r="N41" i="4"/>
  <c r="P41" i="4" s="1"/>
  <c r="O41" i="4" s="1"/>
  <c r="E41" i="4" s="1"/>
  <c r="H37" i="4"/>
  <c r="I37" i="4" s="1"/>
  <c r="H46" i="4"/>
  <c r="I46" i="4" s="1"/>
  <c r="H48" i="4"/>
  <c r="I48" i="4" s="1"/>
  <c r="H44" i="4"/>
  <c r="I44" i="4" s="1"/>
  <c r="H51" i="4"/>
  <c r="I51" i="4" s="1"/>
  <c r="N43" i="4"/>
  <c r="P43" i="4" s="1"/>
  <c r="O43" i="4" s="1"/>
  <c r="E43" i="4" s="1"/>
  <c r="H40" i="4"/>
  <c r="I40" i="4" s="1"/>
  <c r="H36" i="4"/>
  <c r="I36" i="4" s="1"/>
  <c r="N50" i="4"/>
  <c r="P50" i="4" s="1"/>
  <c r="O50" i="4" s="1"/>
  <c r="E50" i="4" s="1"/>
  <c r="H47" i="4"/>
  <c r="I47" i="4" s="1"/>
  <c r="H43" i="4"/>
  <c r="I43" i="4" s="1"/>
  <c r="H53" i="4"/>
  <c r="I53" i="4" s="1"/>
  <c r="H50" i="4"/>
  <c r="I50" i="4" s="1"/>
  <c r="N42" i="4"/>
  <c r="P42" i="4" s="1"/>
  <c r="O42" i="4" s="1"/>
  <c r="E42" i="4" s="1"/>
  <c r="H39" i="4"/>
  <c r="I39" i="4" s="1"/>
  <c r="H35" i="4"/>
  <c r="I35" i="4" s="1"/>
  <c r="I5" i="5"/>
  <c r="E47" i="4" l="1"/>
  <c r="F47" i="4" s="1"/>
  <c r="E39" i="4"/>
  <c r="F39" i="4" s="1"/>
  <c r="E35" i="4"/>
  <c r="F35" i="4" s="1"/>
  <c r="E36" i="4"/>
  <c r="K36" i="4" s="1"/>
  <c r="E45" i="4"/>
  <c r="F45" i="4" s="1"/>
  <c r="E51" i="4"/>
  <c r="K51" i="4" s="1"/>
  <c r="E48" i="4"/>
  <c r="K48" i="4" s="1"/>
  <c r="K37" i="4"/>
  <c r="K40" i="4"/>
  <c r="F37" i="4"/>
  <c r="K46" i="4"/>
  <c r="F46" i="4"/>
  <c r="K43" i="4"/>
  <c r="F43" i="4"/>
  <c r="K35" i="4"/>
  <c r="K38" i="4"/>
  <c r="F50" i="4"/>
  <c r="K50" i="4"/>
  <c r="F44" i="4"/>
  <c r="K44" i="4"/>
  <c r="K49" i="4"/>
  <c r="F49" i="4"/>
  <c r="F52" i="4"/>
  <c r="K52" i="4"/>
  <c r="K41" i="4"/>
  <c r="F41" i="4"/>
  <c r="F42" i="4"/>
  <c r="K42" i="4"/>
  <c r="K53" i="4"/>
  <c r="F53" i="4"/>
  <c r="F40" i="4"/>
  <c r="F38" i="4"/>
  <c r="I6" i="5"/>
  <c r="A4" i="5"/>
  <c r="K45" i="4" l="1"/>
  <c r="K39" i="4"/>
  <c r="K47" i="4"/>
  <c r="F51" i="4"/>
  <c r="F48" i="4"/>
  <c r="F36" i="4"/>
  <c r="Q12" i="4"/>
  <c r="C12" i="4" s="1"/>
  <c r="R12" i="4"/>
  <c r="D12" i="4" s="1"/>
  <c r="S12" i="4"/>
  <c r="L12" i="4" s="1"/>
  <c r="Q13" i="4"/>
  <c r="C13" i="4" s="1"/>
  <c r="R13" i="4"/>
  <c r="D13" i="4" s="1"/>
  <c r="S13" i="4"/>
  <c r="L13" i="4" s="1"/>
  <c r="Q14" i="4"/>
  <c r="C14" i="4" s="1"/>
  <c r="R14" i="4"/>
  <c r="D14" i="4" s="1"/>
  <c r="S14" i="4"/>
  <c r="L14" i="4" s="1"/>
  <c r="Q15" i="4"/>
  <c r="C15" i="4" s="1"/>
  <c r="R15" i="4"/>
  <c r="D15" i="4" s="1"/>
  <c r="S15" i="4"/>
  <c r="L15" i="4" s="1"/>
  <c r="Q16" i="4"/>
  <c r="C16" i="4" s="1"/>
  <c r="R16" i="4"/>
  <c r="D16" i="4" s="1"/>
  <c r="S16" i="4"/>
  <c r="L16" i="4" s="1"/>
  <c r="Q17" i="4"/>
  <c r="C17" i="4" s="1"/>
  <c r="R17" i="4"/>
  <c r="D17" i="4" s="1"/>
  <c r="S17" i="4"/>
  <c r="L17" i="4" s="1"/>
  <c r="Q18" i="4"/>
  <c r="C18" i="4" s="1"/>
  <c r="R18" i="4"/>
  <c r="D18" i="4" s="1"/>
  <c r="S18" i="4"/>
  <c r="L18" i="4" s="1"/>
  <c r="R19" i="4"/>
  <c r="D19" i="4" s="1"/>
  <c r="S19" i="4"/>
  <c r="L19" i="4" s="1"/>
  <c r="Q20" i="4"/>
  <c r="C20" i="4" s="1"/>
  <c r="R20" i="4"/>
  <c r="D20" i="4" s="1"/>
  <c r="S20" i="4"/>
  <c r="L20" i="4" s="1"/>
  <c r="Q21" i="4"/>
  <c r="C21" i="4" s="1"/>
  <c r="R21" i="4"/>
  <c r="D21" i="4" s="1"/>
  <c r="S21" i="4"/>
  <c r="L21" i="4" s="1"/>
  <c r="Q22" i="4"/>
  <c r="C22" i="4" s="1"/>
  <c r="R22" i="4"/>
  <c r="D22" i="4" s="1"/>
  <c r="S22" i="4"/>
  <c r="L22" i="4" s="1"/>
  <c r="Q23" i="4"/>
  <c r="C23" i="4" s="1"/>
  <c r="R23" i="4"/>
  <c r="D23" i="4" s="1"/>
  <c r="S23" i="4"/>
  <c r="Q24" i="4"/>
  <c r="C24" i="4" s="1"/>
  <c r="R24" i="4"/>
  <c r="D24" i="4" s="1"/>
  <c r="S24" i="4"/>
  <c r="Q25" i="4"/>
  <c r="C25" i="4" s="1"/>
  <c r="R25" i="4"/>
  <c r="D25" i="4" s="1"/>
  <c r="S25" i="4"/>
  <c r="L25" i="4" s="1"/>
  <c r="M25" i="4" s="1"/>
  <c r="Q26" i="4"/>
  <c r="C26" i="4" s="1"/>
  <c r="R26" i="4"/>
  <c r="D26" i="4" s="1"/>
  <c r="S26" i="4"/>
  <c r="L26" i="4" s="1"/>
  <c r="M26" i="4" s="1"/>
  <c r="Q27" i="4"/>
  <c r="C27" i="4" s="1"/>
  <c r="R27" i="4"/>
  <c r="D27" i="4" s="1"/>
  <c r="S27" i="4"/>
  <c r="L27" i="4" s="1"/>
  <c r="M27" i="4" s="1"/>
  <c r="Q28" i="4"/>
  <c r="C28" i="4" s="1"/>
  <c r="R28" i="4"/>
  <c r="D28" i="4" s="1"/>
  <c r="S28" i="4"/>
  <c r="L28" i="4" s="1"/>
  <c r="M28" i="4" s="1"/>
  <c r="Q29" i="4"/>
  <c r="C29" i="4" s="1"/>
  <c r="R29" i="4"/>
  <c r="D29" i="4" s="1"/>
  <c r="S29" i="4"/>
  <c r="L29" i="4" s="1"/>
  <c r="M29" i="4" s="1"/>
  <c r="Q30" i="4"/>
  <c r="C30" i="4" s="1"/>
  <c r="R30" i="4"/>
  <c r="D30" i="4" s="1"/>
  <c r="S30" i="4"/>
  <c r="L30" i="4" s="1"/>
  <c r="M30" i="4" s="1"/>
  <c r="Q31" i="4"/>
  <c r="C31" i="4" s="1"/>
  <c r="R31" i="4"/>
  <c r="D31" i="4" s="1"/>
  <c r="S31" i="4"/>
  <c r="L31" i="4" s="1"/>
  <c r="M31" i="4" s="1"/>
  <c r="Q32" i="4"/>
  <c r="C32" i="4" s="1"/>
  <c r="R32" i="4"/>
  <c r="D32" i="4" s="1"/>
  <c r="S32" i="4"/>
  <c r="L32" i="4" s="1"/>
  <c r="M32" i="4" s="1"/>
  <c r="Q33" i="4"/>
  <c r="C33" i="4" s="1"/>
  <c r="R33" i="4"/>
  <c r="D33" i="4" s="1"/>
  <c r="S33" i="4"/>
  <c r="L33" i="4" s="1"/>
  <c r="M33" i="4" s="1"/>
  <c r="Q34" i="4"/>
  <c r="C34" i="4" s="1"/>
  <c r="R34" i="4"/>
  <c r="D34" i="4" s="1"/>
  <c r="S34" i="4"/>
  <c r="L34" i="4" s="1"/>
  <c r="M34" i="4" s="1"/>
  <c r="L23" i="4" l="1"/>
  <c r="M23" i="4" s="1"/>
  <c r="N23" i="4" s="1"/>
  <c r="P23" i="4" s="1"/>
  <c r="L24" i="4"/>
  <c r="M24" i="4" s="1"/>
  <c r="N24" i="4" s="1"/>
  <c r="P24" i="4" s="1"/>
  <c r="M13" i="4"/>
  <c r="N13" i="4" s="1"/>
  <c r="P13" i="4" s="1"/>
  <c r="M21" i="4"/>
  <c r="N21" i="4" s="1"/>
  <c r="P21" i="4" s="1"/>
  <c r="M18" i="4"/>
  <c r="N18" i="4" s="1"/>
  <c r="P18" i="4" s="1"/>
  <c r="M16" i="4"/>
  <c r="N16" i="4" s="1"/>
  <c r="P16" i="4" s="1"/>
  <c r="M15" i="4"/>
  <c r="N15" i="4" s="1"/>
  <c r="P15" i="4" s="1"/>
  <c r="M19" i="4"/>
  <c r="N19" i="4" s="1"/>
  <c r="P19" i="4" s="1"/>
  <c r="M12" i="4"/>
  <c r="N12" i="4" s="1"/>
  <c r="P12" i="4" s="1"/>
  <c r="M20" i="4"/>
  <c r="N20" i="4" s="1"/>
  <c r="P20" i="4" s="1"/>
  <c r="M17" i="4"/>
  <c r="N17" i="4" s="1"/>
  <c r="P17" i="4" s="1"/>
  <c r="M22" i="4"/>
  <c r="N22" i="4" s="1"/>
  <c r="P22" i="4" s="1"/>
  <c r="M14" i="4"/>
  <c r="N14" i="4" s="1"/>
  <c r="P14" i="4" s="1"/>
  <c r="H19" i="4"/>
  <c r="I19" i="4" s="1"/>
  <c r="H13" i="4"/>
  <c r="I13" i="4" s="1"/>
  <c r="N29" i="4"/>
  <c r="P29" i="4" s="1"/>
  <c r="N34" i="4"/>
  <c r="P34" i="4" s="1"/>
  <c r="H23" i="4"/>
  <c r="I23" i="4" s="1"/>
  <c r="N25" i="4"/>
  <c r="P25" i="4" s="1"/>
  <c r="N33" i="4"/>
  <c r="P33" i="4" s="1"/>
  <c r="N26" i="4"/>
  <c r="P26" i="4" s="1"/>
  <c r="N30" i="4"/>
  <c r="P30" i="4" s="1"/>
  <c r="H22" i="4"/>
  <c r="I22" i="4" s="1"/>
  <c r="N31" i="4"/>
  <c r="P31" i="4" s="1"/>
  <c r="H17" i="4"/>
  <c r="I17" i="4" s="1"/>
  <c r="H26" i="4"/>
  <c r="I26" i="4" s="1"/>
  <c r="N32" i="4"/>
  <c r="P32" i="4" s="1"/>
  <c r="H18" i="4"/>
  <c r="I18" i="4" s="1"/>
  <c r="H29" i="4"/>
  <c r="I29" i="4" s="1"/>
  <c r="H32" i="4"/>
  <c r="I32" i="4" s="1"/>
  <c r="H33" i="4"/>
  <c r="I33" i="4" s="1"/>
  <c r="N27" i="4"/>
  <c r="P27" i="4" s="1"/>
  <c r="H24" i="4"/>
  <c r="I24" i="4" s="1"/>
  <c r="H21" i="4"/>
  <c r="I21" i="4" s="1"/>
  <c r="N28" i="4"/>
  <c r="P28" i="4" s="1"/>
  <c r="H25" i="4"/>
  <c r="I25" i="4" s="1"/>
  <c r="H16" i="4"/>
  <c r="I16" i="4" s="1"/>
  <c r="H34" i="4"/>
  <c r="I34" i="4" s="1"/>
  <c r="H12" i="4"/>
  <c r="I12" i="4" s="1"/>
  <c r="H30" i="4"/>
  <c r="I30" i="4" s="1"/>
  <c r="H14" i="4"/>
  <c r="I14" i="4" s="1"/>
  <c r="H27" i="4"/>
  <c r="I27" i="4" s="1"/>
  <c r="H28" i="4"/>
  <c r="I28" i="4" s="1"/>
  <c r="H20" i="4"/>
  <c r="I20" i="4" s="1"/>
  <c r="H15" i="4"/>
  <c r="I15" i="4" s="1"/>
  <c r="H31" i="4"/>
  <c r="I31" i="4" s="1"/>
  <c r="R3" i="4"/>
  <c r="D3" i="4" s="1"/>
  <c r="S3" i="4"/>
  <c r="L3" i="4" s="1"/>
  <c r="R4" i="4"/>
  <c r="D4" i="4" s="1"/>
  <c r="S4" i="4"/>
  <c r="L4" i="4" s="1"/>
  <c r="R5" i="4"/>
  <c r="D5" i="4" s="1"/>
  <c r="S5" i="4"/>
  <c r="L5" i="4" s="1"/>
  <c r="R6" i="4"/>
  <c r="D6" i="4" s="1"/>
  <c r="S6" i="4"/>
  <c r="L6" i="4" s="1"/>
  <c r="R7" i="4"/>
  <c r="D7" i="4" s="1"/>
  <c r="S7" i="4"/>
  <c r="L7" i="4" s="1"/>
  <c r="R8" i="4"/>
  <c r="D8" i="4" s="1"/>
  <c r="S8" i="4"/>
  <c r="L8" i="4" s="1"/>
  <c r="R9" i="4"/>
  <c r="D9" i="4" s="1"/>
  <c r="S9" i="4"/>
  <c r="L9" i="4" s="1"/>
  <c r="R10" i="4"/>
  <c r="D10" i="4" s="1"/>
  <c r="S10" i="4"/>
  <c r="L10" i="4" s="1"/>
  <c r="R11" i="4"/>
  <c r="D11" i="4" s="1"/>
  <c r="S11" i="4"/>
  <c r="L11" i="4" s="1"/>
  <c r="S2" i="4"/>
  <c r="L2" i="4" s="1"/>
  <c r="R2" i="4"/>
  <c r="D2" i="4" s="1"/>
  <c r="Q2" i="4"/>
  <c r="C2" i="4" s="1"/>
  <c r="Q3" i="4"/>
  <c r="C3" i="4" s="1"/>
  <c r="Q4" i="4"/>
  <c r="C4" i="4" s="1"/>
  <c r="Q5" i="4"/>
  <c r="C5" i="4" s="1"/>
  <c r="Q6" i="4"/>
  <c r="C6" i="4" s="1"/>
  <c r="Q7" i="4"/>
  <c r="C7" i="4" s="1"/>
  <c r="Q8" i="4"/>
  <c r="C8" i="4" s="1"/>
  <c r="Q9" i="4"/>
  <c r="C9" i="4" s="1"/>
  <c r="Q10" i="4"/>
  <c r="C10" i="4" s="1"/>
  <c r="Q11" i="4"/>
  <c r="C11" i="4" s="1"/>
  <c r="H8" i="4" l="1"/>
  <c r="M10" i="4"/>
  <c r="N10" i="4" s="1"/>
  <c r="P10" i="4" s="1"/>
  <c r="O19" i="4"/>
  <c r="E19" i="4" s="1"/>
  <c r="H10" i="4"/>
  <c r="I10" i="4" s="1"/>
  <c r="O24" i="4"/>
  <c r="E24" i="4" s="1"/>
  <c r="O31" i="4"/>
  <c r="E31" i="4" s="1"/>
  <c r="O22" i="4"/>
  <c r="E22" i="4" s="1"/>
  <c r="O23" i="4"/>
  <c r="E23" i="4" s="1"/>
  <c r="O28" i="4"/>
  <c r="E28" i="4" s="1"/>
  <c r="O13" i="4"/>
  <c r="E13" i="4" s="1"/>
  <c r="O25" i="4"/>
  <c r="E25" i="4" s="1"/>
  <c r="O21" i="4"/>
  <c r="E21" i="4" s="1"/>
  <c r="O30" i="4"/>
  <c r="E30" i="4" s="1"/>
  <c r="O16" i="4"/>
  <c r="E16" i="4" s="1"/>
  <c r="O12" i="4"/>
  <c r="E12" i="4" s="1"/>
  <c r="O32" i="4"/>
  <c r="E32" i="4" s="1"/>
  <c r="O17" i="4"/>
  <c r="E17" i="4" s="1"/>
  <c r="O18" i="4"/>
  <c r="E18" i="4" s="1"/>
  <c r="O27" i="4"/>
  <c r="E27" i="4" s="1"/>
  <c r="O26" i="4"/>
  <c r="E26" i="4" s="1"/>
  <c r="O34" i="4"/>
  <c r="E34" i="4" s="1"/>
  <c r="O14" i="4"/>
  <c r="E14" i="4" s="1"/>
  <c r="O29" i="4"/>
  <c r="E29" i="4" s="1"/>
  <c r="O15" i="4"/>
  <c r="E15" i="4" s="1"/>
  <c r="O33" i="4"/>
  <c r="E33" i="4" s="1"/>
  <c r="O20" i="4"/>
  <c r="E20" i="4" s="1"/>
  <c r="M2" i="4"/>
  <c r="N2" i="4" s="1"/>
  <c r="P2" i="4" s="1"/>
  <c r="M3" i="4"/>
  <c r="N3" i="4" s="1"/>
  <c r="P3" i="4" s="1"/>
  <c r="M11" i="4"/>
  <c r="M9" i="4"/>
  <c r="M7" i="4"/>
  <c r="M6" i="4"/>
  <c r="M5" i="4"/>
  <c r="N5" i="4" s="1"/>
  <c r="P5" i="4" s="1"/>
  <c r="M4" i="4"/>
  <c r="N4" i="4" s="1"/>
  <c r="P4" i="4" s="1"/>
  <c r="M8" i="4"/>
  <c r="K19" i="4" l="1"/>
  <c r="F19" i="4"/>
  <c r="O10" i="4"/>
  <c r="E10" i="4" s="1"/>
  <c r="F20" i="4"/>
  <c r="K20" i="4"/>
  <c r="K33" i="4"/>
  <c r="F33" i="4"/>
  <c r="F28" i="4"/>
  <c r="K28" i="4"/>
  <c r="F27" i="4"/>
  <c r="K27" i="4"/>
  <c r="F25" i="4"/>
  <c r="K25" i="4"/>
  <c r="F15" i="4"/>
  <c r="K15" i="4"/>
  <c r="F22" i="4"/>
  <c r="K22" i="4"/>
  <c r="F26" i="4"/>
  <c r="K26" i="4"/>
  <c r="F13" i="4"/>
  <c r="K13" i="4"/>
  <c r="F29" i="4"/>
  <c r="K29" i="4"/>
  <c r="F23" i="4"/>
  <c r="K23" i="4"/>
  <c r="F31" i="4"/>
  <c r="K31" i="4"/>
  <c r="F21" i="4"/>
  <c r="K21" i="4"/>
  <c r="F18" i="4"/>
  <c r="K18" i="4"/>
  <c r="F17" i="4"/>
  <c r="K17" i="4"/>
  <c r="F32" i="4"/>
  <c r="K32" i="4"/>
  <c r="F14" i="4"/>
  <c r="K14" i="4"/>
  <c r="F12" i="4"/>
  <c r="K12" i="4"/>
  <c r="F16" i="4"/>
  <c r="K16" i="4"/>
  <c r="K34" i="4"/>
  <c r="F34" i="4"/>
  <c r="F30" i="4"/>
  <c r="K30" i="4"/>
  <c r="F24" i="4"/>
  <c r="K24" i="4"/>
  <c r="I8" i="4"/>
  <c r="N9" i="4"/>
  <c r="P9" i="4" s="1"/>
  <c r="N8" i="4"/>
  <c r="P8" i="4" s="1"/>
  <c r="N7" i="4"/>
  <c r="P7" i="4" s="1"/>
  <c r="N6" i="4"/>
  <c r="P6" i="4" s="1"/>
  <c r="N11" i="4"/>
  <c r="P11" i="4" s="1"/>
  <c r="H9" i="4"/>
  <c r="I9" i="4" s="1"/>
  <c r="H2" i="4"/>
  <c r="I2" i="4" s="1"/>
  <c r="H7" i="4"/>
  <c r="I7" i="4" s="1"/>
  <c r="H6" i="4"/>
  <c r="I6" i="4" s="1"/>
  <c r="H5" i="4"/>
  <c r="I5" i="4" s="1"/>
  <c r="H4" i="4"/>
  <c r="I4" i="4" s="1"/>
  <c r="H11" i="4"/>
  <c r="I11" i="4" s="1"/>
  <c r="H3" i="4"/>
  <c r="I3" i="4" s="1"/>
  <c r="F10" i="4" l="1"/>
  <c r="K10" i="4"/>
  <c r="O5" i="4"/>
  <c r="E5" i="4" s="1"/>
  <c r="O7" i="4"/>
  <c r="E7" i="4" s="1"/>
  <c r="O8" i="4"/>
  <c r="E8" i="4" s="1"/>
  <c r="O9" i="4"/>
  <c r="E9" i="4" s="1"/>
  <c r="O6" i="4"/>
  <c r="E6" i="4" s="1"/>
  <c r="O11" i="4"/>
  <c r="E11" i="4" s="1"/>
  <c r="O3" i="4"/>
  <c r="O4" i="4"/>
  <c r="O2" i="4"/>
  <c r="E4" i="4" l="1"/>
  <c r="F4" i="4" s="1"/>
  <c r="E2" i="4"/>
  <c r="F2" i="4" s="1"/>
  <c r="E3" i="4"/>
  <c r="F3" i="4" s="1"/>
  <c r="F7" i="4"/>
  <c r="K7" i="4"/>
  <c r="K5" i="4"/>
  <c r="F5" i="4"/>
  <c r="F11" i="4"/>
  <c r="K11" i="4"/>
  <c r="F6" i="4"/>
  <c r="K6" i="4"/>
  <c r="F9" i="4"/>
  <c r="K9" i="4"/>
  <c r="F8" i="4"/>
  <c r="K8" i="4"/>
  <c r="K4" i="4"/>
  <c r="K2" i="4" l="1"/>
  <c r="K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FF16D5-8CBB-44DA-9058-95AA2993D167}" name="Part Rev" type="1" refreshedVersion="8" saveData="1">
    <dbPr connection="DRIVER=SQL Server;SERVER=rspnc2Venus;UID=M89587;Trusted_Connection=Yes;APP=Microsoft Office 2013;WSID=ITE00542832" command="SELECT order_master.order_id, order_master.part_id, order_master.part_rev, part_specs.param_value_min, part_specs.param_value_nominal AS 'Nominal Transmission', part_specs.param_value_max, part_specs.part_spec_type_x000d__x000a_FROM products.dbo.order_master order_master, products.dbo.part_specs part_specs_x000d__x000a_WHERE part_specs.part_id = order_master.part_id AND part_specs.part_rev = order_master.part_rev AND ((order_master.order_id=?) AND (part_specs.param_no=534) AND (part_specs.part_spec_type='F'))"/>
    <parameters count="1">
      <parameter name="Parameter1" sqlType="1" parameterType="cell" refreshOnChange="1" cell="Calculations!$B$1"/>
    </parameters>
  </connection>
  <connection id="2" xr16:uid="{35BB72EB-A168-4D9B-A17E-398A335CD985}" name="Query from Venus" type="1" refreshedVersion="8" saveData="1">
    <dbPr connection="DRIVER=SQL Server;SERVER=rspnc2Venus;UID=M89587;Trusted_Connection=Yes;APP=Microsoft Office 2013;WSID=ITE00542832" command="SELECT active_parts.order_id, active_parts.serial_id, measurements_log.item_id, measurements_log.param_no, measurements_log.meas_value, measurements_log.last_tag_item_param_flag, measurements_log.meas_value_type, measurements_log.meas_date, parameter_master.param_desc_x000d__x000a_FROM products.dbo.active_parts active_parts, products.dbo.measurements_log measurements_log, products.dbo.parameter_master parameter_master_x000d__x000a_WHERE active_parts.tag_id = measurements_log.tag_id AND parameter_master.param_no = measurements_log.param_no AND ((active_parts.order_id=?))"/>
    <parameters count="1">
      <parameter name="Parameter1" sqlType="1" parameterType="cell" refreshOnChange="1" cell="Calculations!$B$1"/>
    </parameters>
  </connection>
  <connection id="3" xr16:uid="{2C2DDEC7-502F-4278-A6FB-92BC8E2724A0}" name="Query from Venus1" type="1" refreshedVersion="8" saveData="1">
    <dbPr connection="DRIVER=SQL Server;SERVER=rspnc2Venus;UID=M89587;Trusted_Connection=Yes;APP=Microsoft Office 2013;WSID=ITE00542832" command="SELECT active_parts.serial_id_x000d__x000a_FROM products.dbo.active_parts active_parts_x000d__x000a_WHERE (active_parts.order_id=?) AND (active_parts.operation_id In ('276'))_x000d__x000a_ORDER BY active_parts.serial_id"/>
    <parameters count="1">
      <parameter name="Parameter1" sqlType="1" parameterType="cell" refreshOnChange="1" cell="Calculations!$B$1"/>
    </parameters>
  </connection>
</connections>
</file>

<file path=xl/sharedStrings.xml><?xml version="1.0" encoding="utf-8"?>
<sst xmlns="http://schemas.openxmlformats.org/spreadsheetml/2006/main" count="479" uniqueCount="93">
  <si>
    <t>item_id</t>
  </si>
  <si>
    <t>param_no</t>
  </si>
  <si>
    <t>meas_value</t>
  </si>
  <si>
    <t>order_id</t>
  </si>
  <si>
    <t>serial_id</t>
  </si>
  <si>
    <t>last_tag_item_param_flag</t>
  </si>
  <si>
    <t>Production Order</t>
  </si>
  <si>
    <t>part_id</t>
  </si>
  <si>
    <t>part_rev</t>
  </si>
  <si>
    <t>Nominal Transmission</t>
  </si>
  <si>
    <t>Alpha</t>
  </si>
  <si>
    <t>OD</t>
  </si>
  <si>
    <t>Cr4+ Removal</t>
  </si>
  <si>
    <t>New Thickness</t>
  </si>
  <si>
    <t>End Grind Removal</t>
  </si>
  <si>
    <t>Cr4+ Length</t>
  </si>
  <si>
    <t>YAG Length</t>
  </si>
  <si>
    <t>Overall Length</t>
  </si>
  <si>
    <t>% Trans</t>
  </si>
  <si>
    <t>meas_value_type</t>
  </si>
  <si>
    <t>meas_date</t>
  </si>
  <si>
    <t>Overall Date</t>
  </si>
  <si>
    <t>E1 Date</t>
  </si>
  <si>
    <t>%T Date</t>
  </si>
  <si>
    <t>Actual Length</t>
  </si>
  <si>
    <t>YAG Target Length</t>
  </si>
  <si>
    <t>YAG Removal</t>
  </si>
  <si>
    <t>Overall Length Target</t>
  </si>
  <si>
    <t>param_value_min</t>
  </si>
  <si>
    <t>param_value_max</t>
  </si>
  <si>
    <t>Overall-Cr4+</t>
  </si>
  <si>
    <t>Serial Number</t>
  </si>
  <si>
    <t>Overall - Cr4+</t>
  </si>
  <si>
    <t>Directions</t>
  </si>
  <si>
    <t xml:space="preserve">Transmission % Target </t>
  </si>
  <si>
    <t>1. Enter targeted transmission % in cell H2</t>
  </si>
  <si>
    <t>Notes</t>
  </si>
  <si>
    <r>
      <t xml:space="preserve">2. Enter any additional notes you would like captured on the calculation sheet.
</t>
    </r>
    <r>
      <rPr>
        <b/>
        <i/>
        <sz val="14"/>
        <color theme="1"/>
        <rFont val="Calibri"/>
        <family val="2"/>
        <scheme val="minor"/>
      </rPr>
      <t>Example : Changed T% to 26.5 per customer request</t>
    </r>
  </si>
  <si>
    <t>3. Make sure all parts are scanned to RF Engineering operation</t>
  </si>
  <si>
    <t>4. Click the "Enter Order Number" button.</t>
  </si>
  <si>
    <t xml:space="preserve">5. Enter Production Order # </t>
  </si>
  <si>
    <t xml:space="preserve">6. Verify calculations are correct and print PDF. </t>
  </si>
  <si>
    <t>param_desc</t>
  </si>
  <si>
    <t>po</t>
  </si>
  <si>
    <t>I</t>
  </si>
  <si>
    <t>F</t>
  </si>
  <si>
    <t>BARREL FINISH</t>
  </si>
  <si>
    <t>DIAMETER</t>
  </si>
  <si>
    <t>B481-096</t>
  </si>
  <si>
    <t>E1_E2 OVERALL LENGTH</t>
  </si>
  <si>
    <t>DISTANCE OF BOND LINE FROM E1</t>
  </si>
  <si>
    <t>TRANSMISSION</t>
  </si>
  <si>
    <t>A</t>
  </si>
  <si>
    <t>part_spec_type</t>
  </si>
  <si>
    <t>197224</t>
  </si>
  <si>
    <t xml:space="preserve">L134737G  </t>
  </si>
  <si>
    <t>L134737G</t>
  </si>
  <si>
    <t xml:space="preserve">L134736I  </t>
  </si>
  <si>
    <t>L134736I</t>
  </si>
  <si>
    <t xml:space="preserve">L134725B  </t>
  </si>
  <si>
    <t>L134725B</t>
  </si>
  <si>
    <t xml:space="preserve">L134735E  </t>
  </si>
  <si>
    <t>L134735E</t>
  </si>
  <si>
    <t xml:space="preserve">L137986H  </t>
  </si>
  <si>
    <t>L137986H</t>
  </si>
  <si>
    <t xml:space="preserve">L137988G  </t>
  </si>
  <si>
    <t>L137988G</t>
  </si>
  <si>
    <t xml:space="preserve">L137988C  </t>
  </si>
  <si>
    <t>L137988C</t>
  </si>
  <si>
    <t xml:space="preserve">L137986K  </t>
  </si>
  <si>
    <t>L137986K</t>
  </si>
  <si>
    <t xml:space="preserve">L137986B  </t>
  </si>
  <si>
    <t>L137986B</t>
  </si>
  <si>
    <t xml:space="preserve">L137986J  </t>
  </si>
  <si>
    <t>L137986J</t>
  </si>
  <si>
    <t xml:space="preserve">L137986C  </t>
  </si>
  <si>
    <t>L137986C</t>
  </si>
  <si>
    <t xml:space="preserve">L137988E  </t>
  </si>
  <si>
    <t>L137988E</t>
  </si>
  <si>
    <t xml:space="preserve">L137988B  </t>
  </si>
  <si>
    <t>L137988B</t>
  </si>
  <si>
    <t xml:space="preserve">L137986D  </t>
  </si>
  <si>
    <t>L137986D</t>
  </si>
  <si>
    <t xml:space="preserve">L137986F  </t>
  </si>
  <si>
    <t>L137986F</t>
  </si>
  <si>
    <t xml:space="preserve">L137988D  </t>
  </si>
  <si>
    <t>L137988D</t>
  </si>
  <si>
    <t xml:space="preserve">L137988J  </t>
  </si>
  <si>
    <t>L137988J</t>
  </si>
  <si>
    <t xml:space="preserve">L137987   </t>
  </si>
  <si>
    <t>L137987</t>
  </si>
  <si>
    <t xml:space="preserve">L134736F  </t>
  </si>
  <si>
    <t>L134736F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</si>
</sst>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"/>
    <numFmt numFmtId="165" formatCode="0.0000"/>
    <numFmt numFmtId="166" formatCode="0.0000000000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4"/>
      <color rgb="FFFF6600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000000"/>
      <name val="Arial Narrow"/>
      <family val="2"/>
    </font>
    <font>
      <sz val="2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rgb="FFDDEBF7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6"/>
      </right>
      <top style="thin">
        <color theme="0" tint="-0.34998626667073579"/>
      </top>
      <bottom style="thin">
        <color theme="6"/>
      </bottom>
      <diagonal/>
    </border>
    <border>
      <left style="thin">
        <color theme="0" tint="-0.34998626667073579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0" tint="-0.34998626667073579"/>
      </left>
      <right style="thin">
        <color theme="6"/>
      </right>
      <top style="thin">
        <color theme="6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n">
        <color rgb="FF9BC2E6"/>
      </top>
      <bottom style="thin">
        <color rgb="FF9BC2E6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3" fillId="2" borderId="1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4" borderId="1" applyNumberFormat="0" applyAlignment="0" applyProtection="0"/>
    <xf numFmtId="0" fontId="13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22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center"/>
    </xf>
    <xf numFmtId="44" fontId="0" fillId="0" borderId="0" xfId="4" applyFont="1"/>
    <xf numFmtId="43" fontId="0" fillId="0" borderId="0" xfId="3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5" fillId="0" borderId="0" xfId="0" applyFont="1"/>
    <xf numFmtId="0" fontId="0" fillId="0" borderId="2" xfId="0" applyBorder="1"/>
    <xf numFmtId="167" fontId="0" fillId="0" borderId="0" xfId="0" applyNumberFormat="1" applyAlignment="1">
      <alignment horizontal="center"/>
    </xf>
    <xf numFmtId="167" fontId="5" fillId="0" borderId="0" xfId="2" applyNumberFormat="1" applyFont="1" applyFill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  <xf numFmtId="167" fontId="6" fillId="0" borderId="0" xfId="1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3" fillId="0" borderId="16" xfId="6" applyFill="1" applyBorder="1" applyAlignment="1">
      <alignment wrapText="1"/>
    </xf>
    <xf numFmtId="0" fontId="10" fillId="0" borderId="0" xfId="0" applyFont="1" applyAlignment="1">
      <alignment horizontal="center" wrapText="1"/>
    </xf>
    <xf numFmtId="167" fontId="10" fillId="0" borderId="0" xfId="0" applyNumberFormat="1" applyFont="1" applyAlignment="1">
      <alignment horizontal="center" wrapText="1"/>
    </xf>
    <xf numFmtId="167" fontId="11" fillId="0" borderId="0" xfId="2" applyNumberFormat="1" applyFont="1" applyFill="1" applyBorder="1" applyAlignment="1">
      <alignment horizontal="center" wrapText="1"/>
    </xf>
    <xf numFmtId="167" fontId="10" fillId="0" borderId="0" xfId="1" applyNumberFormat="1" applyFont="1" applyFill="1" applyBorder="1" applyAlignment="1">
      <alignment horizontal="center" wrapText="1"/>
    </xf>
    <xf numFmtId="0" fontId="10" fillId="0" borderId="0" xfId="2" applyFont="1" applyFill="1" applyBorder="1" applyAlignment="1">
      <alignment horizontal="center" wrapText="1"/>
    </xf>
    <xf numFmtId="165" fontId="6" fillId="0" borderId="0" xfId="0" applyNumberFormat="1" applyFont="1" applyAlignment="1">
      <alignment horizontal="center"/>
    </xf>
    <xf numFmtId="167" fontId="6" fillId="0" borderId="0" xfId="2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8" fillId="6" borderId="24" xfId="0" applyFont="1" applyFill="1" applyBorder="1"/>
    <xf numFmtId="1" fontId="18" fillId="6" borderId="24" xfId="0" applyNumberFormat="1" applyFont="1" applyFill="1" applyBorder="1"/>
    <xf numFmtId="1" fontId="18" fillId="0" borderId="24" xfId="0" applyNumberFormat="1" applyFont="1" applyBorder="1"/>
    <xf numFmtId="0" fontId="7" fillId="3" borderId="10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9" fillId="3" borderId="4" xfId="0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9" fillId="3" borderId="12" xfId="0" applyFont="1" applyFill="1" applyBorder="1" applyAlignment="1">
      <alignment horizontal="center" vertical="center" wrapText="1"/>
    </xf>
    <xf numFmtId="0" fontId="19" fillId="3" borderId="13" xfId="0" applyFont="1" applyFill="1" applyBorder="1" applyAlignment="1">
      <alignment horizontal="center" vertical="center" wrapText="1"/>
    </xf>
    <xf numFmtId="0" fontId="19" fillId="3" borderId="14" xfId="0" applyFont="1" applyFill="1" applyBorder="1" applyAlignment="1">
      <alignment horizontal="center" vertical="center" wrapText="1"/>
    </xf>
    <xf numFmtId="0" fontId="19" fillId="3" borderId="15" xfId="0" applyFont="1" applyFill="1" applyBorder="1" applyAlignment="1">
      <alignment horizontal="center" vertical="center" wrapText="1"/>
    </xf>
    <xf numFmtId="0" fontId="16" fillId="0" borderId="21" xfId="0" applyFont="1" applyBorder="1" applyAlignment="1">
      <alignment horizontal="left" wrapText="1"/>
    </xf>
    <xf numFmtId="0" fontId="16" fillId="0" borderId="6" xfId="0" applyFont="1" applyBorder="1" applyAlignment="1">
      <alignment horizontal="left" wrapText="1"/>
    </xf>
    <xf numFmtId="0" fontId="16" fillId="0" borderId="22" xfId="0" applyFont="1" applyBorder="1" applyAlignment="1">
      <alignment horizontal="left" wrapText="1"/>
    </xf>
    <xf numFmtId="0" fontId="16" fillId="0" borderId="23" xfId="0" applyFont="1" applyBorder="1" applyAlignment="1">
      <alignment horizontal="left" wrapText="1"/>
    </xf>
    <xf numFmtId="0" fontId="16" fillId="0" borderId="14" xfId="0" applyFont="1" applyBorder="1" applyAlignment="1">
      <alignment horizontal="left" wrapText="1"/>
    </xf>
    <xf numFmtId="0" fontId="16" fillId="0" borderId="15" xfId="0" applyFont="1" applyBorder="1" applyAlignment="1">
      <alignment horizontal="left" wrapText="1"/>
    </xf>
    <xf numFmtId="0" fontId="14" fillId="4" borderId="20" xfId="5" applyFont="1" applyBorder="1" applyAlignment="1">
      <alignment horizontal="center" vertical="center"/>
    </xf>
    <xf numFmtId="0" fontId="14" fillId="4" borderId="0" xfId="5" applyFont="1" applyBorder="1" applyAlignment="1">
      <alignment horizontal="center" vertical="center"/>
    </xf>
    <xf numFmtId="0" fontId="16" fillId="0" borderId="21" xfId="0" applyFont="1" applyBorder="1" applyAlignment="1">
      <alignment horizontal="left"/>
    </xf>
    <xf numFmtId="0" fontId="16" fillId="0" borderId="6" xfId="0" applyFont="1" applyBorder="1" applyAlignment="1">
      <alignment horizontal="left"/>
    </xf>
    <xf numFmtId="0" fontId="16" fillId="0" borderId="22" xfId="0" applyFont="1" applyBorder="1" applyAlignment="1">
      <alignment horizontal="left"/>
    </xf>
    <xf numFmtId="0" fontId="16" fillId="0" borderId="23" xfId="0" applyFont="1" applyBorder="1" applyAlignment="1">
      <alignment horizontal="left"/>
    </xf>
    <xf numFmtId="0" fontId="16" fillId="0" borderId="14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5" fillId="0" borderId="2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0" borderId="17" xfId="6" applyFill="1" applyBorder="1" applyAlignment="1">
      <alignment horizontal="center" vertical="center" wrapText="1"/>
    </xf>
    <xf numFmtId="0" fontId="13" fillId="0" borderId="18" xfId="6" applyFill="1" applyBorder="1" applyAlignment="1">
      <alignment horizontal="center" vertical="center" wrapText="1"/>
    </xf>
    <xf numFmtId="0" fontId="13" fillId="0" borderId="19" xfId="6" applyFill="1" applyBorder="1" applyAlignment="1">
      <alignment horizontal="center" vertical="center" wrapText="1"/>
    </xf>
  </cellXfs>
  <cellStyles count="7">
    <cellStyle name="Calculation" xfId="2" builtinId="22"/>
    <cellStyle name="Comma" xfId="3" builtinId="3"/>
    <cellStyle name="Currency" xfId="4" builtinId="4"/>
    <cellStyle name="Explanatory Text" xfId="6" builtinId="53"/>
    <cellStyle name="Input" xfId="5" builtinId="20"/>
    <cellStyle name="Normal" xfId="0" builtinId="0"/>
    <cellStyle name="Percent" xfId="1" builtinId="5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arrow"/>
        <family val="2"/>
        <scheme val="none"/>
      </font>
      <fill>
        <patternFill patternType="solid">
          <fgColor rgb="FFDDEBF7"/>
          <bgColor rgb="FFDDEBF7"/>
        </patternFill>
      </fill>
      <border diagonalUp="0" diagonalDown="0">
        <left/>
        <right/>
        <top style="thin">
          <color rgb="FF9BC2E6"/>
        </top>
        <bottom style="thin">
          <color rgb="FF9BC2E6"/>
        </bottom>
        <vertical/>
        <horizontal/>
      </border>
    </dxf>
    <dxf>
      <numFmt numFmtId="27" formatCode="m/d/yyyy\ h:mm"/>
    </dxf>
    <dxf>
      <numFmt numFmtId="27" formatCode="m/d/yyyy\ h:mm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Enter Order Number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Venus" backgroundRefresh="0" connectionId="2" xr16:uid="{9B92E230-6F07-4033-B8B1-CDFA387DA9F4}" autoFormatId="16" applyNumberFormats="0" applyBorderFormats="0" applyFontFormats="0" applyPatternFormats="0" applyAlignmentFormats="0" applyWidthHeightFormats="0">
  <queryTableRefresh nextId="10">
    <queryTableFields count="9">
      <queryTableField id="1" name="order_id" tableColumnId="1"/>
      <queryTableField id="2" name="serial_id" tableColumnId="2"/>
      <queryTableField id="3" name="item_id" tableColumnId="3"/>
      <queryTableField id="4" name="param_no" tableColumnId="4"/>
      <queryTableField id="5" name="meas_value" tableColumnId="5"/>
      <queryTableField id="6" name="last_tag_item_param_flag" tableColumnId="6"/>
      <queryTableField id="7" name="meas_value_type" tableColumnId="7"/>
      <queryTableField id="8" name="meas_date" tableColumnId="8"/>
      <queryTableField id="9" name="param_desc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Venus" backgroundRefresh="0" connectionId="3" xr16:uid="{AA0085D0-A964-4983-87E3-3DC13B8E3A9C}" autoFormatId="16" applyNumberFormats="0" applyBorderFormats="0" applyFontFormats="0" applyPatternFormats="0" applyAlignmentFormats="0" applyWidthHeightFormats="0">
  <queryTableRefresh nextId="2">
    <queryTableFields count="1">
      <queryTableField id="1" name="serial_id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Venus" backgroundRefresh="0" connectionId="1" xr16:uid="{55E270C7-EE00-4130-AC4A-4BE356BD76EE}" autoFormatId="16" applyNumberFormats="0" applyBorderFormats="0" applyFontFormats="0" applyPatternFormats="0" applyAlignmentFormats="0" applyWidthHeightFormats="0">
  <queryTableRefresh nextId="10">
    <queryTableFields count="7">
      <queryTableField id="1" name="order_id" tableColumnId="1"/>
      <queryTableField id="2" name="part_id" tableColumnId="2"/>
      <queryTableField id="3" name="part_rev" tableColumnId="3"/>
      <queryTableField id="5" name="Nominal Transmission" tableColumnId="5"/>
      <queryTableField id="6" name="param_value_min" tableColumnId="4"/>
      <queryTableField id="7" name="param_value_max" tableColumnId="6"/>
      <queryTableField id="9" name="part_spec_typ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BCCA69-7FA7-4C6E-A6DC-1E50BA1F6991}" name="Table_Query_from_Venus" displayName="Table_Query_from_Venus" ref="A1:I85" tableType="queryTable" totalsRowShown="0">
  <autoFilter ref="A1:I85" xr:uid="{4EBCCA69-7FA7-4C6E-A6DC-1E50BA1F6991}">
    <filterColumn colId="1">
      <filters>
        <filter val="L134735A"/>
      </filters>
    </filterColumn>
  </autoFilter>
  <sortState xmlns:xlrd2="http://schemas.microsoft.com/office/spreadsheetml/2017/richdata2" ref="A2:I85">
    <sortCondition ref="B1:B85"/>
  </sortState>
  <tableColumns count="9">
    <tableColumn id="1" xr3:uid="{CC007D2C-720E-460B-B2E0-7C38F0716F91}" uniqueName="1" name="order_id" queryTableFieldId="1"/>
    <tableColumn id="2" xr3:uid="{A078DEE1-2F93-43B2-B2E5-92BA86E56881}" uniqueName="2" name="serial_id" queryTableFieldId="2"/>
    <tableColumn id="3" xr3:uid="{519A2A92-3919-4156-B6EA-A0E31ADAD1BF}" uniqueName="3" name="item_id" queryTableFieldId="3"/>
    <tableColumn id="4" xr3:uid="{26F7C2F1-2D88-4B82-8162-A938557601F2}" uniqueName="4" name="param_no" queryTableFieldId="4"/>
    <tableColumn id="5" xr3:uid="{F62304B0-D62E-456E-ABA8-F17CAD75F1B3}" uniqueName="5" name="meas_value" queryTableFieldId="5"/>
    <tableColumn id="6" xr3:uid="{A11CB1A7-9CAD-4358-A2E1-B064AA0628B6}" uniqueName="6" name="last_tag_item_param_flag" queryTableFieldId="6"/>
    <tableColumn id="7" xr3:uid="{C5E9619A-858D-4568-9A89-648D43A85DE6}" uniqueName="7" name="meas_value_type" queryTableFieldId="7"/>
    <tableColumn id="8" xr3:uid="{F0C4A47C-FB2F-4F0E-8B3B-7DBB9B24F69C}" uniqueName="8" name="meas_date" queryTableFieldId="8" dataDxfId="9"/>
    <tableColumn id="9" xr3:uid="{2ADF17CD-F9CA-46AC-94DB-3092AC96A667}" uniqueName="9" name="param_desc" queryTableFieldId="9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C64F3C-1AEE-4B82-84C8-502A185EE397}" name="Table_Query_from_Venus2" displayName="Table_Query_from_Venus2" ref="B1:B2" tableType="queryTable" insertRow="1" totalsRowShown="0" headerRowDxfId="12">
  <autoFilter ref="B1:B2" xr:uid="{BAC64F3C-1AEE-4B82-84C8-502A185EE397}"/>
  <tableColumns count="1">
    <tableColumn id="1" xr3:uid="{2A521C73-B4B1-401B-9E27-C77CF6BA78BB}" uniqueName="1" name="serial_id" queryTableFieldId="1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5C831B-E183-40D1-9E87-72DDCB53F5B5}" name="Table_Query_from_Venus4" displayName="Table_Query_from_Venus4" ref="D1:J2" tableType="queryTable" totalsRowShown="0" headerRowDxfId="11" dataDxfId="10">
  <autoFilter ref="D1:J2" xr:uid="{4B5C831B-E183-40D1-9E87-72DDCB53F5B5}"/>
  <tableColumns count="7">
    <tableColumn id="1" xr3:uid="{1F9C8D27-74BD-43CB-AB6A-696882566535}" uniqueName="1" name="order_id" queryTableFieldId="1" dataDxfId="6"/>
    <tableColumn id="2" xr3:uid="{A4736A49-78AB-4571-8352-6A11B8BC1E35}" uniqueName="2" name="part_id" queryTableFieldId="2" dataDxfId="5"/>
    <tableColumn id="3" xr3:uid="{BE26259A-7A9D-483D-871F-CD46E75CEA95}" uniqueName="3" name="part_rev" queryTableFieldId="3" dataDxfId="4"/>
    <tableColumn id="5" xr3:uid="{FDADEC2C-FEEF-43EC-B823-96199990199F}" uniqueName="5" name="Nominal Transmission" queryTableFieldId="5" dataDxfId="3"/>
    <tableColumn id="4" xr3:uid="{05E19C6A-ADE2-4C43-968C-BA87DAD9E414}" uniqueName="4" name="param_value_min" queryTableFieldId="6" dataDxfId="2"/>
    <tableColumn id="6" xr3:uid="{01107A59-F974-423C-8BFD-4D244F8F0030}" uniqueName="6" name="param_value_max" queryTableFieldId="7" dataDxfId="1"/>
    <tableColumn id="7" xr3:uid="{B3E4963E-5426-4BE8-9114-FFDEE778EEBE}" uniqueName="7" name="part_spec_type" queryTableFieldId="9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C166-7C73-421B-9298-30AB1F1AAFF3}">
  <sheetPr codeName="Sheet6"/>
  <dimension ref="B2:Q27"/>
  <sheetViews>
    <sheetView workbookViewId="0">
      <selection activeCell="H2" sqref="H2:Q2"/>
    </sheetView>
  </sheetViews>
  <sheetFormatPr defaultRowHeight="15" x14ac:dyDescent="0.25"/>
  <cols>
    <col min="7" max="7" width="22.5703125" customWidth="1"/>
  </cols>
  <sheetData>
    <row r="2" spans="2:17" ht="21" x14ac:dyDescent="0.25">
      <c r="G2" s="22" t="s">
        <v>34</v>
      </c>
      <c r="H2" s="54">
        <v>19</v>
      </c>
      <c r="I2" s="55"/>
      <c r="J2" s="55"/>
      <c r="K2" s="55"/>
      <c r="L2" s="55"/>
      <c r="M2" s="55"/>
      <c r="N2" s="55"/>
      <c r="O2" s="55"/>
      <c r="P2" s="55"/>
      <c r="Q2" s="55"/>
    </row>
    <row r="3" spans="2:17" ht="15" customHeight="1" x14ac:dyDescent="0.25">
      <c r="G3" s="72" t="s">
        <v>36</v>
      </c>
      <c r="H3" s="71"/>
      <c r="I3" s="71"/>
      <c r="J3" s="71"/>
      <c r="K3" s="71"/>
      <c r="L3" s="71"/>
      <c r="M3" s="71"/>
      <c r="N3" s="71"/>
      <c r="O3" s="71"/>
      <c r="P3" s="71"/>
      <c r="Q3" s="71"/>
    </row>
    <row r="4" spans="2:17" ht="15" customHeight="1" x14ac:dyDescent="0.25">
      <c r="G4" s="73"/>
      <c r="H4" s="71"/>
      <c r="I4" s="71"/>
      <c r="J4" s="71"/>
      <c r="K4" s="71"/>
      <c r="L4" s="71"/>
      <c r="M4" s="71"/>
      <c r="N4" s="71"/>
      <c r="O4" s="71"/>
      <c r="P4" s="71"/>
      <c r="Q4" s="71"/>
    </row>
    <row r="5" spans="2:17" ht="15" customHeight="1" x14ac:dyDescent="0.25">
      <c r="G5" s="74"/>
      <c r="H5" s="71"/>
      <c r="I5" s="71"/>
      <c r="J5" s="71"/>
      <c r="K5" s="71"/>
      <c r="L5" s="71"/>
      <c r="M5" s="71"/>
      <c r="N5" s="71"/>
      <c r="O5" s="71"/>
      <c r="P5" s="71"/>
      <c r="Q5" s="71"/>
    </row>
    <row r="12" spans="2:17" x14ac:dyDescent="0.25">
      <c r="B12" s="62" t="s">
        <v>33</v>
      </c>
      <c r="C12" s="63"/>
      <c r="D12" s="63"/>
      <c r="E12" s="63"/>
      <c r="F12" s="63"/>
      <c r="G12" s="63"/>
      <c r="H12" s="64"/>
    </row>
    <row r="13" spans="2:17" x14ac:dyDescent="0.25">
      <c r="B13" s="65"/>
      <c r="C13" s="66"/>
      <c r="D13" s="66"/>
      <c r="E13" s="66"/>
      <c r="F13" s="66"/>
      <c r="G13" s="66"/>
      <c r="H13" s="67"/>
    </row>
    <row r="14" spans="2:17" x14ac:dyDescent="0.25">
      <c r="B14" s="65"/>
      <c r="C14" s="66"/>
      <c r="D14" s="66"/>
      <c r="E14" s="66"/>
      <c r="F14" s="66"/>
      <c r="G14" s="66"/>
      <c r="H14" s="67"/>
    </row>
    <row r="15" spans="2:17" x14ac:dyDescent="0.25">
      <c r="B15" s="68"/>
      <c r="C15" s="69"/>
      <c r="D15" s="69"/>
      <c r="E15" s="69"/>
      <c r="F15" s="69"/>
      <c r="G15" s="69"/>
      <c r="H15" s="70"/>
    </row>
    <row r="16" spans="2:17" x14ac:dyDescent="0.25">
      <c r="B16" s="56" t="s">
        <v>35</v>
      </c>
      <c r="C16" s="57"/>
      <c r="D16" s="57"/>
      <c r="E16" s="57"/>
      <c r="F16" s="57"/>
      <c r="G16" s="57"/>
      <c r="H16" s="58"/>
    </row>
    <row r="17" spans="2:8" x14ac:dyDescent="0.25">
      <c r="B17" s="59"/>
      <c r="C17" s="60"/>
      <c r="D17" s="60"/>
      <c r="E17" s="60"/>
      <c r="F17" s="60"/>
      <c r="G17" s="60"/>
      <c r="H17" s="61"/>
    </row>
    <row r="18" spans="2:8" x14ac:dyDescent="0.25">
      <c r="B18" s="48" t="s">
        <v>37</v>
      </c>
      <c r="C18" s="49"/>
      <c r="D18" s="49"/>
      <c r="E18" s="49"/>
      <c r="F18" s="49"/>
      <c r="G18" s="49"/>
      <c r="H18" s="50"/>
    </row>
    <row r="19" spans="2:8" ht="66" customHeight="1" x14ac:dyDescent="0.25">
      <c r="B19" s="51"/>
      <c r="C19" s="52"/>
      <c r="D19" s="52"/>
      <c r="E19" s="52"/>
      <c r="F19" s="52"/>
      <c r="G19" s="52"/>
      <c r="H19" s="53"/>
    </row>
    <row r="20" spans="2:8" ht="22.5" customHeight="1" x14ac:dyDescent="0.25">
      <c r="B20" s="48" t="s">
        <v>38</v>
      </c>
      <c r="C20" s="49"/>
      <c r="D20" s="49"/>
      <c r="E20" s="49"/>
      <c r="F20" s="49"/>
      <c r="G20" s="49"/>
      <c r="H20" s="50"/>
    </row>
    <row r="21" spans="2:8" ht="27" customHeight="1" x14ac:dyDescent="0.25">
      <c r="B21" s="51"/>
      <c r="C21" s="52"/>
      <c r="D21" s="52"/>
      <c r="E21" s="52"/>
      <c r="F21" s="52"/>
      <c r="G21" s="52"/>
      <c r="H21" s="53"/>
    </row>
    <row r="22" spans="2:8" ht="15" customHeight="1" x14ac:dyDescent="0.25">
      <c r="B22" s="56" t="s">
        <v>39</v>
      </c>
      <c r="C22" s="57"/>
      <c r="D22" s="57"/>
      <c r="E22" s="57"/>
      <c r="F22" s="57"/>
      <c r="G22" s="57"/>
      <c r="H22" s="58"/>
    </row>
    <row r="23" spans="2:8" x14ac:dyDescent="0.25">
      <c r="B23" s="59"/>
      <c r="C23" s="60"/>
      <c r="D23" s="60"/>
      <c r="E23" s="60"/>
      <c r="F23" s="60"/>
      <c r="G23" s="60"/>
      <c r="H23" s="61"/>
    </row>
    <row r="24" spans="2:8" ht="23.25" customHeight="1" x14ac:dyDescent="0.25">
      <c r="B24" s="56" t="s">
        <v>40</v>
      </c>
      <c r="C24" s="57"/>
      <c r="D24" s="57"/>
      <c r="E24" s="57"/>
      <c r="F24" s="57"/>
      <c r="G24" s="57"/>
      <c r="H24" s="58"/>
    </row>
    <row r="25" spans="2:8" x14ac:dyDescent="0.25">
      <c r="B25" s="59"/>
      <c r="C25" s="60"/>
      <c r="D25" s="60"/>
      <c r="E25" s="60"/>
      <c r="F25" s="60"/>
      <c r="G25" s="60"/>
      <c r="H25" s="61"/>
    </row>
    <row r="26" spans="2:8" x14ac:dyDescent="0.25">
      <c r="B26" s="48" t="s">
        <v>41</v>
      </c>
      <c r="C26" s="49"/>
      <c r="D26" s="49"/>
      <c r="E26" s="49"/>
      <c r="F26" s="49"/>
      <c r="G26" s="49"/>
      <c r="H26" s="50"/>
    </row>
    <row r="27" spans="2:8" x14ac:dyDescent="0.25">
      <c r="B27" s="51"/>
      <c r="C27" s="52"/>
      <c r="D27" s="52"/>
      <c r="E27" s="52"/>
      <c r="F27" s="52"/>
      <c r="G27" s="52"/>
      <c r="H27" s="53"/>
    </row>
  </sheetData>
  <mergeCells count="10">
    <mergeCell ref="B26:H27"/>
    <mergeCell ref="H2:Q2"/>
    <mergeCell ref="B22:H23"/>
    <mergeCell ref="B24:H25"/>
    <mergeCell ref="B20:H21"/>
    <mergeCell ref="B12:H15"/>
    <mergeCell ref="B16:H17"/>
    <mergeCell ref="B18:H19"/>
    <mergeCell ref="H3:Q5"/>
    <mergeCell ref="G3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rder_num">
                <anchor moveWithCells="1" sizeWithCells="1">
                  <from>
                    <xdr:col>1</xdr:col>
                    <xdr:colOff>19050</xdr:colOff>
                    <xdr:row>1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2165B-A6AE-46E0-A962-676C6E105F6E}">
  <sheetPr codeName="Sheet1"/>
  <dimension ref="A1:I85"/>
  <sheetViews>
    <sheetView workbookViewId="0">
      <selection activeCell="E5" sqref="E5"/>
    </sheetView>
  </sheetViews>
  <sheetFormatPr defaultRowHeight="15" x14ac:dyDescent="0.25"/>
  <cols>
    <col min="1" max="2" width="10.85546875" bestFit="1" customWidth="1"/>
    <col min="3" max="3" width="10.140625" bestFit="1" customWidth="1"/>
    <col min="4" max="4" width="12.140625" bestFit="1" customWidth="1"/>
    <col min="5" max="5" width="13.85546875" bestFit="1" customWidth="1"/>
    <col min="6" max="6" width="26.5703125" bestFit="1" customWidth="1"/>
    <col min="7" max="7" width="19" bestFit="1" customWidth="1"/>
    <col min="8" max="8" width="15.85546875" bestFit="1" customWidth="1"/>
    <col min="9" max="9" width="31.42578125" bestFit="1" customWidth="1"/>
    <col min="16" max="16" width="10.7109375" bestFit="1" customWidth="1"/>
  </cols>
  <sheetData>
    <row r="1" spans="1:9" x14ac:dyDescent="0.25">
      <c r="A1" t="s">
        <v>3</v>
      </c>
      <c r="B1" t="s">
        <v>4</v>
      </c>
      <c r="C1" t="s">
        <v>0</v>
      </c>
      <c r="D1" t="s">
        <v>1</v>
      </c>
      <c r="E1" t="s">
        <v>2</v>
      </c>
      <c r="F1" t="s">
        <v>5</v>
      </c>
      <c r="G1" t="s">
        <v>19</v>
      </c>
      <c r="H1" t="s">
        <v>20</v>
      </c>
      <c r="I1" t="s">
        <v>42</v>
      </c>
    </row>
    <row r="2" spans="1:9" hidden="1" x14ac:dyDescent="0.25">
      <c r="A2" t="s">
        <v>54</v>
      </c>
      <c r="B2" t="s">
        <v>59</v>
      </c>
      <c r="C2" t="s">
        <v>60</v>
      </c>
      <c r="D2">
        <v>120</v>
      </c>
      <c r="E2">
        <v>0.2495</v>
      </c>
      <c r="F2">
        <v>1</v>
      </c>
      <c r="G2" t="s">
        <v>45</v>
      </c>
      <c r="H2" s="6">
        <v>46002.615486111114</v>
      </c>
      <c r="I2" s="6" t="s">
        <v>47</v>
      </c>
    </row>
    <row r="3" spans="1:9" hidden="1" x14ac:dyDescent="0.25">
      <c r="A3" t="s">
        <v>54</v>
      </c>
      <c r="B3" t="s">
        <v>59</v>
      </c>
      <c r="C3" t="s">
        <v>60</v>
      </c>
      <c r="D3">
        <v>130</v>
      </c>
      <c r="E3">
        <v>51</v>
      </c>
      <c r="F3">
        <v>1</v>
      </c>
      <c r="G3" t="s">
        <v>45</v>
      </c>
      <c r="H3" s="6">
        <v>46002.61546296296</v>
      </c>
      <c r="I3" s="6" t="s">
        <v>46</v>
      </c>
    </row>
    <row r="4" spans="1:9" hidden="1" x14ac:dyDescent="0.25">
      <c r="A4" t="s">
        <v>54</v>
      </c>
      <c r="B4" t="s">
        <v>61</v>
      </c>
      <c r="C4" t="s">
        <v>62</v>
      </c>
      <c r="D4">
        <v>120</v>
      </c>
      <c r="E4">
        <v>0.2495</v>
      </c>
      <c r="F4">
        <v>1</v>
      </c>
      <c r="G4" t="s">
        <v>45</v>
      </c>
      <c r="H4" s="6">
        <v>46002.615486111114</v>
      </c>
      <c r="I4" s="6" t="s">
        <v>47</v>
      </c>
    </row>
    <row r="5" spans="1:9" hidden="1" x14ac:dyDescent="0.25">
      <c r="A5" t="s">
        <v>54</v>
      </c>
      <c r="B5" t="s">
        <v>61</v>
      </c>
      <c r="C5" t="s">
        <v>62</v>
      </c>
      <c r="D5">
        <v>130</v>
      </c>
      <c r="E5">
        <v>51</v>
      </c>
      <c r="F5">
        <v>1</v>
      </c>
      <c r="G5" t="s">
        <v>45</v>
      </c>
      <c r="H5" s="6">
        <v>46002.615486111114</v>
      </c>
      <c r="I5" s="6" t="s">
        <v>46</v>
      </c>
    </row>
    <row r="6" spans="1:9" hidden="1" x14ac:dyDescent="0.25">
      <c r="A6" t="s">
        <v>54</v>
      </c>
      <c r="B6" t="s">
        <v>91</v>
      </c>
      <c r="C6" t="s">
        <v>92</v>
      </c>
      <c r="D6">
        <v>120</v>
      </c>
      <c r="E6">
        <v>0.24940000000000001</v>
      </c>
      <c r="F6">
        <v>1</v>
      </c>
      <c r="G6" t="s">
        <v>45</v>
      </c>
      <c r="H6" s="6">
        <v>46122.614895833336</v>
      </c>
      <c r="I6" s="6" t="s">
        <v>47</v>
      </c>
    </row>
    <row r="7" spans="1:9" hidden="1" x14ac:dyDescent="0.25">
      <c r="A7" t="s">
        <v>54</v>
      </c>
      <c r="B7" t="s">
        <v>91</v>
      </c>
      <c r="C7" t="s">
        <v>92</v>
      </c>
      <c r="D7">
        <v>130</v>
      </c>
      <c r="E7">
        <v>54</v>
      </c>
      <c r="F7">
        <v>1</v>
      </c>
      <c r="G7" t="s">
        <v>45</v>
      </c>
      <c r="H7" s="6">
        <v>46122.614895833336</v>
      </c>
      <c r="I7" s="6" t="s">
        <v>46</v>
      </c>
    </row>
    <row r="8" spans="1:9" hidden="1" x14ac:dyDescent="0.25">
      <c r="A8" t="s">
        <v>54</v>
      </c>
      <c r="B8" t="s">
        <v>57</v>
      </c>
      <c r="C8" t="s">
        <v>58</v>
      </c>
      <c r="D8">
        <v>120</v>
      </c>
      <c r="E8">
        <v>0.2495</v>
      </c>
      <c r="F8">
        <v>1</v>
      </c>
      <c r="G8" t="s">
        <v>45</v>
      </c>
      <c r="H8" s="6">
        <v>46002.615486111114</v>
      </c>
      <c r="I8" s="6" t="s">
        <v>47</v>
      </c>
    </row>
    <row r="9" spans="1:9" hidden="1" x14ac:dyDescent="0.25">
      <c r="A9" t="s">
        <v>54</v>
      </c>
      <c r="B9" t="s">
        <v>57</v>
      </c>
      <c r="C9" t="s">
        <v>58</v>
      </c>
      <c r="D9">
        <v>130</v>
      </c>
      <c r="E9">
        <v>51</v>
      </c>
      <c r="F9">
        <v>1</v>
      </c>
      <c r="G9" t="s">
        <v>45</v>
      </c>
      <c r="H9" s="6">
        <v>46002.615486111114</v>
      </c>
      <c r="I9" s="6" t="s">
        <v>46</v>
      </c>
    </row>
    <row r="10" spans="1:9" hidden="1" x14ac:dyDescent="0.25">
      <c r="A10" t="s">
        <v>54</v>
      </c>
      <c r="B10" t="s">
        <v>55</v>
      </c>
      <c r="C10" t="s">
        <v>56</v>
      </c>
      <c r="D10">
        <v>120</v>
      </c>
      <c r="E10">
        <v>0.2495</v>
      </c>
      <c r="F10">
        <v>1</v>
      </c>
      <c r="G10" t="s">
        <v>45</v>
      </c>
      <c r="H10" s="6">
        <v>46002.615486111114</v>
      </c>
      <c r="I10" s="6" t="s">
        <v>47</v>
      </c>
    </row>
    <row r="11" spans="1:9" hidden="1" x14ac:dyDescent="0.25">
      <c r="A11" t="s">
        <v>54</v>
      </c>
      <c r="B11" t="s">
        <v>55</v>
      </c>
      <c r="C11" t="s">
        <v>56</v>
      </c>
      <c r="D11">
        <v>130</v>
      </c>
      <c r="E11">
        <v>51</v>
      </c>
      <c r="F11">
        <v>1</v>
      </c>
      <c r="G11" t="s">
        <v>45</v>
      </c>
      <c r="H11" s="6">
        <v>46002.615486111114</v>
      </c>
      <c r="I11" s="6" t="s">
        <v>46</v>
      </c>
    </row>
    <row r="12" spans="1:9" hidden="1" x14ac:dyDescent="0.25">
      <c r="A12" t="s">
        <v>54</v>
      </c>
      <c r="B12" t="s">
        <v>71</v>
      </c>
      <c r="C12" t="s">
        <v>72</v>
      </c>
      <c r="D12">
        <v>119</v>
      </c>
      <c r="E12">
        <v>4.5163000000000002</v>
      </c>
      <c r="F12">
        <v>1</v>
      </c>
      <c r="G12" t="s">
        <v>44</v>
      </c>
      <c r="H12" s="6">
        <v>46145.401493055557</v>
      </c>
      <c r="I12" s="6" t="s">
        <v>49</v>
      </c>
    </row>
    <row r="13" spans="1:9" hidden="1" x14ac:dyDescent="0.25">
      <c r="A13" t="s">
        <v>54</v>
      </c>
      <c r="B13" t="s">
        <v>71</v>
      </c>
      <c r="C13" t="s">
        <v>72</v>
      </c>
      <c r="D13">
        <v>120</v>
      </c>
      <c r="E13">
        <v>0.24940000000000001</v>
      </c>
      <c r="F13">
        <v>1</v>
      </c>
      <c r="G13" t="s">
        <v>45</v>
      </c>
      <c r="H13" s="6">
        <v>46122.614918981482</v>
      </c>
      <c r="I13" s="6" t="s">
        <v>47</v>
      </c>
    </row>
    <row r="14" spans="1:9" hidden="1" x14ac:dyDescent="0.25">
      <c r="A14" t="s">
        <v>54</v>
      </c>
      <c r="B14" t="s">
        <v>71</v>
      </c>
      <c r="C14" t="s">
        <v>72</v>
      </c>
      <c r="D14">
        <v>130</v>
      </c>
      <c r="E14">
        <v>54</v>
      </c>
      <c r="F14">
        <v>1</v>
      </c>
      <c r="G14" t="s">
        <v>45</v>
      </c>
      <c r="H14" s="6">
        <v>46122.614918981482</v>
      </c>
      <c r="I14" s="6" t="s">
        <v>46</v>
      </c>
    </row>
    <row r="15" spans="1:9" hidden="1" x14ac:dyDescent="0.25">
      <c r="A15" t="s">
        <v>54</v>
      </c>
      <c r="B15" t="s">
        <v>71</v>
      </c>
      <c r="C15" t="s">
        <v>72</v>
      </c>
      <c r="D15">
        <v>432</v>
      </c>
      <c r="E15">
        <v>0.21049999999999999</v>
      </c>
      <c r="F15">
        <v>1</v>
      </c>
      <c r="G15" t="s">
        <v>44</v>
      </c>
      <c r="H15" s="6">
        <v>46145.401493055557</v>
      </c>
      <c r="I15" s="6" t="s">
        <v>50</v>
      </c>
    </row>
    <row r="16" spans="1:9" hidden="1" x14ac:dyDescent="0.25">
      <c r="A16" t="s">
        <v>54</v>
      </c>
      <c r="B16" t="s">
        <v>71</v>
      </c>
      <c r="C16" t="s">
        <v>72</v>
      </c>
      <c r="D16">
        <v>534</v>
      </c>
      <c r="E16">
        <v>11.5</v>
      </c>
      <c r="F16">
        <v>0</v>
      </c>
      <c r="G16" t="s">
        <v>45</v>
      </c>
      <c r="H16" s="6">
        <v>46146.29619212963</v>
      </c>
      <c r="I16" s="6" t="s">
        <v>51</v>
      </c>
    </row>
    <row r="17" spans="1:9" hidden="1" x14ac:dyDescent="0.25">
      <c r="A17" t="s">
        <v>54</v>
      </c>
      <c r="B17" t="s">
        <v>71</v>
      </c>
      <c r="C17" t="s">
        <v>72</v>
      </c>
      <c r="D17">
        <v>534</v>
      </c>
      <c r="E17">
        <v>11.5</v>
      </c>
      <c r="F17">
        <v>1</v>
      </c>
      <c r="G17" t="s">
        <v>45</v>
      </c>
      <c r="H17" s="6">
        <v>46146.298101851855</v>
      </c>
      <c r="I17" s="6" t="s">
        <v>51</v>
      </c>
    </row>
    <row r="18" spans="1:9" hidden="1" x14ac:dyDescent="0.25">
      <c r="A18" t="s">
        <v>54</v>
      </c>
      <c r="B18" t="s">
        <v>75</v>
      </c>
      <c r="C18" t="s">
        <v>76</v>
      </c>
      <c r="D18">
        <v>119</v>
      </c>
      <c r="E18">
        <v>4.5152999999999999</v>
      </c>
      <c r="F18">
        <v>1</v>
      </c>
      <c r="G18" t="s">
        <v>44</v>
      </c>
      <c r="H18" s="6">
        <v>46145.401620370372</v>
      </c>
      <c r="I18" s="6" t="s">
        <v>49</v>
      </c>
    </row>
    <row r="19" spans="1:9" hidden="1" x14ac:dyDescent="0.25">
      <c r="A19" t="s">
        <v>54</v>
      </c>
      <c r="B19" t="s">
        <v>75</v>
      </c>
      <c r="C19" t="s">
        <v>76</v>
      </c>
      <c r="D19">
        <v>120</v>
      </c>
      <c r="E19">
        <v>0.24940000000000001</v>
      </c>
      <c r="F19">
        <v>1</v>
      </c>
      <c r="G19" t="s">
        <v>45</v>
      </c>
      <c r="H19" s="6">
        <v>46122.614930555559</v>
      </c>
      <c r="I19" s="6" t="s">
        <v>47</v>
      </c>
    </row>
    <row r="20" spans="1:9" hidden="1" x14ac:dyDescent="0.25">
      <c r="A20" t="s">
        <v>54</v>
      </c>
      <c r="B20" t="s">
        <v>75</v>
      </c>
      <c r="C20" t="s">
        <v>76</v>
      </c>
      <c r="D20">
        <v>130</v>
      </c>
      <c r="E20">
        <v>54</v>
      </c>
      <c r="F20">
        <v>1</v>
      </c>
      <c r="G20" t="s">
        <v>45</v>
      </c>
      <c r="H20" s="6">
        <v>46122.614930555559</v>
      </c>
      <c r="I20" s="6" t="s">
        <v>46</v>
      </c>
    </row>
    <row r="21" spans="1:9" hidden="1" x14ac:dyDescent="0.25">
      <c r="A21" t="s">
        <v>54</v>
      </c>
      <c r="B21" t="s">
        <v>75</v>
      </c>
      <c r="C21" t="s">
        <v>76</v>
      </c>
      <c r="D21">
        <v>432</v>
      </c>
      <c r="E21">
        <v>0.20910000000000001</v>
      </c>
      <c r="F21">
        <v>1</v>
      </c>
      <c r="G21" t="s">
        <v>44</v>
      </c>
      <c r="H21" s="6">
        <v>46145.401620370372</v>
      </c>
      <c r="I21" s="6" t="s">
        <v>50</v>
      </c>
    </row>
    <row r="22" spans="1:9" hidden="1" x14ac:dyDescent="0.25">
      <c r="A22" t="s">
        <v>54</v>
      </c>
      <c r="B22" t="s">
        <v>75</v>
      </c>
      <c r="C22" t="s">
        <v>76</v>
      </c>
      <c r="D22">
        <v>534</v>
      </c>
      <c r="E22">
        <v>11.3</v>
      </c>
      <c r="F22">
        <v>0</v>
      </c>
      <c r="G22" t="s">
        <v>45</v>
      </c>
      <c r="H22" s="6">
        <v>46146.296412037038</v>
      </c>
      <c r="I22" s="6" t="s">
        <v>51</v>
      </c>
    </row>
    <row r="23" spans="1:9" hidden="1" x14ac:dyDescent="0.25">
      <c r="A23" t="s">
        <v>54</v>
      </c>
      <c r="B23" t="s">
        <v>75</v>
      </c>
      <c r="C23" t="s">
        <v>76</v>
      </c>
      <c r="D23">
        <v>534</v>
      </c>
      <c r="E23">
        <v>11.3</v>
      </c>
      <c r="F23">
        <v>1</v>
      </c>
      <c r="G23" t="s">
        <v>45</v>
      </c>
      <c r="H23" s="6">
        <v>46146.400925925926</v>
      </c>
      <c r="I23" s="6" t="s">
        <v>51</v>
      </c>
    </row>
    <row r="24" spans="1:9" hidden="1" x14ac:dyDescent="0.25">
      <c r="A24" t="s">
        <v>54</v>
      </c>
      <c r="B24" t="s">
        <v>81</v>
      </c>
      <c r="C24" t="s">
        <v>82</v>
      </c>
      <c r="D24">
        <v>119</v>
      </c>
      <c r="E24">
        <v>4.5157999999999996</v>
      </c>
      <c r="F24">
        <v>1</v>
      </c>
      <c r="G24" t="s">
        <v>44</v>
      </c>
      <c r="H24" s="6">
        <v>46145.401759259257</v>
      </c>
      <c r="I24" s="6" t="s">
        <v>49</v>
      </c>
    </row>
    <row r="25" spans="1:9" hidden="1" x14ac:dyDescent="0.25">
      <c r="A25" t="s">
        <v>54</v>
      </c>
      <c r="B25" t="s">
        <v>81</v>
      </c>
      <c r="C25" t="s">
        <v>82</v>
      </c>
      <c r="D25">
        <v>120</v>
      </c>
      <c r="E25">
        <v>0.24940000000000001</v>
      </c>
      <c r="F25">
        <v>1</v>
      </c>
      <c r="G25" t="s">
        <v>45</v>
      </c>
      <c r="H25" s="6">
        <v>46122.614930555559</v>
      </c>
      <c r="I25" s="6" t="s">
        <v>47</v>
      </c>
    </row>
    <row r="26" spans="1:9" hidden="1" x14ac:dyDescent="0.25">
      <c r="A26" t="s">
        <v>54</v>
      </c>
      <c r="B26" t="s">
        <v>81</v>
      </c>
      <c r="C26" t="s">
        <v>82</v>
      </c>
      <c r="D26">
        <v>130</v>
      </c>
      <c r="E26">
        <v>54</v>
      </c>
      <c r="F26">
        <v>1</v>
      </c>
      <c r="G26" t="s">
        <v>45</v>
      </c>
      <c r="H26" s="6">
        <v>46122.614930555559</v>
      </c>
      <c r="I26" s="6" t="s">
        <v>46</v>
      </c>
    </row>
    <row r="27" spans="1:9" hidden="1" x14ac:dyDescent="0.25">
      <c r="A27" t="s">
        <v>54</v>
      </c>
      <c r="B27" t="s">
        <v>81</v>
      </c>
      <c r="C27" t="s">
        <v>82</v>
      </c>
      <c r="D27">
        <v>432</v>
      </c>
      <c r="E27">
        <v>0.20949999999999999</v>
      </c>
      <c r="F27">
        <v>1</v>
      </c>
      <c r="G27" t="s">
        <v>44</v>
      </c>
      <c r="H27" s="6">
        <v>46145.401759259257</v>
      </c>
      <c r="I27" s="6" t="s">
        <v>50</v>
      </c>
    </row>
    <row r="28" spans="1:9" hidden="1" x14ac:dyDescent="0.25">
      <c r="A28" t="s">
        <v>54</v>
      </c>
      <c r="B28" t="s">
        <v>81</v>
      </c>
      <c r="C28" t="s">
        <v>82</v>
      </c>
      <c r="D28">
        <v>534</v>
      </c>
      <c r="E28">
        <v>11.34</v>
      </c>
      <c r="F28">
        <v>0</v>
      </c>
      <c r="G28" t="s">
        <v>45</v>
      </c>
      <c r="H28" s="6">
        <v>46146.296597222223</v>
      </c>
      <c r="I28" s="6" t="s">
        <v>51</v>
      </c>
    </row>
    <row r="29" spans="1:9" hidden="1" x14ac:dyDescent="0.25">
      <c r="A29" t="s">
        <v>54</v>
      </c>
      <c r="B29" t="s">
        <v>81</v>
      </c>
      <c r="C29" t="s">
        <v>82</v>
      </c>
      <c r="D29">
        <v>534</v>
      </c>
      <c r="E29">
        <v>11.34</v>
      </c>
      <c r="F29">
        <v>1</v>
      </c>
      <c r="G29" t="s">
        <v>45</v>
      </c>
      <c r="H29" s="6">
        <v>46146.401736111111</v>
      </c>
      <c r="I29" s="6" t="s">
        <v>51</v>
      </c>
    </row>
    <row r="30" spans="1:9" hidden="1" x14ac:dyDescent="0.25">
      <c r="A30" t="s">
        <v>54</v>
      </c>
      <c r="B30" t="s">
        <v>83</v>
      </c>
      <c r="C30" t="s">
        <v>84</v>
      </c>
      <c r="D30">
        <v>119</v>
      </c>
      <c r="E30">
        <v>4.5156999999999998</v>
      </c>
      <c r="F30">
        <v>1</v>
      </c>
      <c r="G30" t="s">
        <v>44</v>
      </c>
      <c r="H30" s="6">
        <v>46145.401898148149</v>
      </c>
      <c r="I30" s="6" t="s">
        <v>49</v>
      </c>
    </row>
    <row r="31" spans="1:9" hidden="1" x14ac:dyDescent="0.25">
      <c r="A31" t="s">
        <v>54</v>
      </c>
      <c r="B31" t="s">
        <v>83</v>
      </c>
      <c r="C31" t="s">
        <v>84</v>
      </c>
      <c r="D31">
        <v>120</v>
      </c>
      <c r="E31">
        <v>0.24940000000000001</v>
      </c>
      <c r="F31">
        <v>1</v>
      </c>
      <c r="G31" t="s">
        <v>45</v>
      </c>
      <c r="H31" s="6">
        <v>46122.614930555559</v>
      </c>
      <c r="I31" s="6" t="s">
        <v>47</v>
      </c>
    </row>
    <row r="32" spans="1:9" hidden="1" x14ac:dyDescent="0.25">
      <c r="A32" t="s">
        <v>54</v>
      </c>
      <c r="B32" t="s">
        <v>83</v>
      </c>
      <c r="C32" t="s">
        <v>84</v>
      </c>
      <c r="D32">
        <v>130</v>
      </c>
      <c r="E32">
        <v>54</v>
      </c>
      <c r="F32">
        <v>1</v>
      </c>
      <c r="G32" t="s">
        <v>45</v>
      </c>
      <c r="H32" s="6">
        <v>46122.614930555559</v>
      </c>
      <c r="I32" s="6" t="s">
        <v>46</v>
      </c>
    </row>
    <row r="33" spans="1:9" hidden="1" x14ac:dyDescent="0.25">
      <c r="A33" t="s">
        <v>54</v>
      </c>
      <c r="B33" t="s">
        <v>83</v>
      </c>
      <c r="C33" t="s">
        <v>84</v>
      </c>
      <c r="D33">
        <v>432</v>
      </c>
      <c r="E33">
        <v>0.20899999999999999</v>
      </c>
      <c r="F33">
        <v>1</v>
      </c>
      <c r="G33" t="s">
        <v>44</v>
      </c>
      <c r="H33" s="6">
        <v>46145.401898148149</v>
      </c>
      <c r="I33" s="6" t="s">
        <v>50</v>
      </c>
    </row>
    <row r="34" spans="1:9" hidden="1" x14ac:dyDescent="0.25">
      <c r="A34" t="s">
        <v>54</v>
      </c>
      <c r="B34" t="s">
        <v>83</v>
      </c>
      <c r="C34" t="s">
        <v>84</v>
      </c>
      <c r="D34">
        <v>534</v>
      </c>
      <c r="E34">
        <v>11.57</v>
      </c>
      <c r="F34">
        <v>0</v>
      </c>
      <c r="G34" t="s">
        <v>45</v>
      </c>
      <c r="H34" s="6">
        <v>46146.296724537038</v>
      </c>
      <c r="I34" s="6" t="s">
        <v>51</v>
      </c>
    </row>
    <row r="35" spans="1:9" hidden="1" x14ac:dyDescent="0.25">
      <c r="A35" t="s">
        <v>54</v>
      </c>
      <c r="B35" t="s">
        <v>83</v>
      </c>
      <c r="C35" t="s">
        <v>84</v>
      </c>
      <c r="D35">
        <v>534</v>
      </c>
      <c r="E35">
        <v>11.57</v>
      </c>
      <c r="F35">
        <v>1</v>
      </c>
      <c r="G35" t="s">
        <v>45</v>
      </c>
      <c r="H35" s="6">
        <v>46146.400312500002</v>
      </c>
      <c r="I35" s="6" t="s">
        <v>51</v>
      </c>
    </row>
    <row r="36" spans="1:9" hidden="1" x14ac:dyDescent="0.25">
      <c r="A36" t="s">
        <v>54</v>
      </c>
      <c r="B36" t="s">
        <v>63</v>
      </c>
      <c r="C36" t="s">
        <v>64</v>
      </c>
      <c r="D36">
        <v>119</v>
      </c>
      <c r="E36">
        <v>4.5155000000000003</v>
      </c>
      <c r="F36">
        <v>1</v>
      </c>
      <c r="G36" t="s">
        <v>44</v>
      </c>
      <c r="H36" s="6">
        <v>46145.402037037034</v>
      </c>
      <c r="I36" s="6" t="s">
        <v>49</v>
      </c>
    </row>
    <row r="37" spans="1:9" hidden="1" x14ac:dyDescent="0.25">
      <c r="A37" t="s">
        <v>54</v>
      </c>
      <c r="B37" t="s">
        <v>63</v>
      </c>
      <c r="C37" t="s">
        <v>64</v>
      </c>
      <c r="D37">
        <v>120</v>
      </c>
      <c r="E37">
        <v>0.24940000000000001</v>
      </c>
      <c r="F37">
        <v>1</v>
      </c>
      <c r="G37" t="s">
        <v>45</v>
      </c>
      <c r="H37" s="6">
        <v>46122.614895833336</v>
      </c>
      <c r="I37" s="6" t="s">
        <v>47</v>
      </c>
    </row>
    <row r="38" spans="1:9" hidden="1" x14ac:dyDescent="0.25">
      <c r="A38" t="s">
        <v>54</v>
      </c>
      <c r="B38" t="s">
        <v>63</v>
      </c>
      <c r="C38" t="s">
        <v>64</v>
      </c>
      <c r="D38">
        <v>130</v>
      </c>
      <c r="E38">
        <v>54</v>
      </c>
      <c r="F38">
        <v>1</v>
      </c>
      <c r="G38" t="s">
        <v>45</v>
      </c>
      <c r="H38" s="6">
        <v>46122.614884259259</v>
      </c>
      <c r="I38" s="6" t="s">
        <v>46</v>
      </c>
    </row>
    <row r="39" spans="1:9" hidden="1" x14ac:dyDescent="0.25">
      <c r="A39" t="s">
        <v>54</v>
      </c>
      <c r="B39" t="s">
        <v>63</v>
      </c>
      <c r="C39" t="s">
        <v>64</v>
      </c>
      <c r="D39">
        <v>432</v>
      </c>
      <c r="E39">
        <v>0.20979999999999999</v>
      </c>
      <c r="F39">
        <v>1</v>
      </c>
      <c r="G39" t="s">
        <v>44</v>
      </c>
      <c r="H39" s="6">
        <v>46145.402037037034</v>
      </c>
      <c r="I39" s="6" t="s">
        <v>50</v>
      </c>
    </row>
    <row r="40" spans="1:9" hidden="1" x14ac:dyDescent="0.25">
      <c r="A40" t="s">
        <v>54</v>
      </c>
      <c r="B40" t="s">
        <v>63</v>
      </c>
      <c r="C40" t="s">
        <v>64</v>
      </c>
      <c r="D40">
        <v>534</v>
      </c>
      <c r="E40">
        <v>11.41</v>
      </c>
      <c r="F40">
        <v>0</v>
      </c>
      <c r="G40" t="s">
        <v>45</v>
      </c>
      <c r="H40" s="6">
        <v>46146.296863425923</v>
      </c>
      <c r="I40" s="6" t="s">
        <v>51</v>
      </c>
    </row>
    <row r="41" spans="1:9" hidden="1" x14ac:dyDescent="0.25">
      <c r="A41" t="s">
        <v>54</v>
      </c>
      <c r="B41" t="s">
        <v>63</v>
      </c>
      <c r="C41" t="s">
        <v>64</v>
      </c>
      <c r="D41">
        <v>534</v>
      </c>
      <c r="E41">
        <v>11.41</v>
      </c>
      <c r="F41">
        <v>1</v>
      </c>
      <c r="G41" t="s">
        <v>45</v>
      </c>
      <c r="H41" s="6">
        <v>46146.400520833333</v>
      </c>
      <c r="I41" s="6" t="s">
        <v>51</v>
      </c>
    </row>
    <row r="42" spans="1:9" hidden="1" x14ac:dyDescent="0.25">
      <c r="A42" t="s">
        <v>54</v>
      </c>
      <c r="B42" t="s">
        <v>73</v>
      </c>
      <c r="C42" t="s">
        <v>74</v>
      </c>
      <c r="D42">
        <v>119</v>
      </c>
      <c r="E42">
        <v>4.5152999999999999</v>
      </c>
      <c r="F42">
        <v>1</v>
      </c>
      <c r="G42" t="s">
        <v>44</v>
      </c>
      <c r="H42" s="6">
        <v>46145.402199074073</v>
      </c>
      <c r="I42" s="6" t="s">
        <v>49</v>
      </c>
    </row>
    <row r="43" spans="1:9" hidden="1" x14ac:dyDescent="0.25">
      <c r="A43" t="s">
        <v>54</v>
      </c>
      <c r="B43" t="s">
        <v>73</v>
      </c>
      <c r="C43" t="s">
        <v>74</v>
      </c>
      <c r="D43">
        <v>120</v>
      </c>
      <c r="E43">
        <v>0.24940000000000001</v>
      </c>
      <c r="F43">
        <v>1</v>
      </c>
      <c r="G43" t="s">
        <v>45</v>
      </c>
      <c r="H43" s="6">
        <v>46122.614930555559</v>
      </c>
      <c r="I43" s="6" t="s">
        <v>47</v>
      </c>
    </row>
    <row r="44" spans="1:9" hidden="1" x14ac:dyDescent="0.25">
      <c r="A44" t="s">
        <v>54</v>
      </c>
      <c r="B44" t="s">
        <v>73</v>
      </c>
      <c r="C44" t="s">
        <v>74</v>
      </c>
      <c r="D44">
        <v>130</v>
      </c>
      <c r="E44">
        <v>54</v>
      </c>
      <c r="F44">
        <v>1</v>
      </c>
      <c r="G44" t="s">
        <v>45</v>
      </c>
      <c r="H44" s="6">
        <v>46122.614918981482</v>
      </c>
      <c r="I44" s="6" t="s">
        <v>46</v>
      </c>
    </row>
    <row r="45" spans="1:9" hidden="1" x14ac:dyDescent="0.25">
      <c r="A45" t="s">
        <v>54</v>
      </c>
      <c r="B45" t="s">
        <v>73</v>
      </c>
      <c r="C45" t="s">
        <v>74</v>
      </c>
      <c r="D45">
        <v>432</v>
      </c>
      <c r="E45">
        <v>0.2102</v>
      </c>
      <c r="F45">
        <v>1</v>
      </c>
      <c r="G45" t="s">
        <v>44</v>
      </c>
      <c r="H45" s="6">
        <v>46145.402199074073</v>
      </c>
      <c r="I45" s="6" t="s">
        <v>50</v>
      </c>
    </row>
    <row r="46" spans="1:9" hidden="1" x14ac:dyDescent="0.25">
      <c r="A46" t="s">
        <v>54</v>
      </c>
      <c r="B46" t="s">
        <v>73</v>
      </c>
      <c r="C46" t="s">
        <v>74</v>
      </c>
      <c r="D46">
        <v>534</v>
      </c>
      <c r="E46">
        <v>11.3</v>
      </c>
      <c r="F46">
        <v>0</v>
      </c>
      <c r="G46" t="s">
        <v>45</v>
      </c>
      <c r="H46" s="6">
        <v>46146.296979166669</v>
      </c>
      <c r="I46" s="6" t="s">
        <v>51</v>
      </c>
    </row>
    <row r="47" spans="1:9" hidden="1" x14ac:dyDescent="0.25">
      <c r="A47" t="s">
        <v>54</v>
      </c>
      <c r="B47" t="s">
        <v>73</v>
      </c>
      <c r="C47" t="s">
        <v>74</v>
      </c>
      <c r="D47">
        <v>534</v>
      </c>
      <c r="E47">
        <v>11.3</v>
      </c>
      <c r="F47">
        <v>1</v>
      </c>
      <c r="G47" t="s">
        <v>45</v>
      </c>
      <c r="H47" s="6">
        <v>46146.400659722225</v>
      </c>
      <c r="I47" s="6" t="s">
        <v>51</v>
      </c>
    </row>
    <row r="48" spans="1:9" hidden="1" x14ac:dyDescent="0.25">
      <c r="A48" t="s">
        <v>54</v>
      </c>
      <c r="B48" t="s">
        <v>69</v>
      </c>
      <c r="C48" t="s">
        <v>70</v>
      </c>
      <c r="D48">
        <v>119</v>
      </c>
      <c r="E48">
        <v>4.5153999999999996</v>
      </c>
      <c r="F48">
        <v>1</v>
      </c>
      <c r="G48" t="s">
        <v>44</v>
      </c>
      <c r="H48" s="6">
        <v>46145.402361111112</v>
      </c>
      <c r="I48" s="6" t="s">
        <v>49</v>
      </c>
    </row>
    <row r="49" spans="1:9" hidden="1" x14ac:dyDescent="0.25">
      <c r="A49" t="s">
        <v>54</v>
      </c>
      <c r="B49" t="s">
        <v>69</v>
      </c>
      <c r="C49" t="s">
        <v>70</v>
      </c>
      <c r="D49">
        <v>120</v>
      </c>
      <c r="E49">
        <v>0.24940000000000001</v>
      </c>
      <c r="F49">
        <v>1</v>
      </c>
      <c r="G49" t="s">
        <v>45</v>
      </c>
      <c r="H49" s="6">
        <v>46122.614918981482</v>
      </c>
      <c r="I49" s="6" t="s">
        <v>47</v>
      </c>
    </row>
    <row r="50" spans="1:9" hidden="1" x14ac:dyDescent="0.25">
      <c r="A50" t="s">
        <v>54</v>
      </c>
      <c r="B50" t="s">
        <v>69</v>
      </c>
      <c r="C50" t="s">
        <v>70</v>
      </c>
      <c r="D50">
        <v>130</v>
      </c>
      <c r="E50">
        <v>54</v>
      </c>
      <c r="F50">
        <v>1</v>
      </c>
      <c r="G50" t="s">
        <v>45</v>
      </c>
      <c r="H50" s="6">
        <v>46122.614907407406</v>
      </c>
      <c r="I50" s="6" t="s">
        <v>46</v>
      </c>
    </row>
    <row r="51" spans="1:9" hidden="1" x14ac:dyDescent="0.25">
      <c r="A51" t="s">
        <v>54</v>
      </c>
      <c r="B51" t="s">
        <v>69</v>
      </c>
      <c r="C51" t="s">
        <v>70</v>
      </c>
      <c r="D51">
        <v>432</v>
      </c>
      <c r="E51">
        <v>0.20979999999999999</v>
      </c>
      <c r="F51">
        <v>1</v>
      </c>
      <c r="G51" t="s">
        <v>44</v>
      </c>
      <c r="H51" s="6">
        <v>46145.402361111112</v>
      </c>
      <c r="I51" s="6" t="s">
        <v>50</v>
      </c>
    </row>
    <row r="52" spans="1:9" hidden="1" x14ac:dyDescent="0.25">
      <c r="A52" t="s">
        <v>54</v>
      </c>
      <c r="B52" t="s">
        <v>69</v>
      </c>
      <c r="C52" t="s">
        <v>70</v>
      </c>
      <c r="D52">
        <v>534</v>
      </c>
      <c r="E52">
        <v>11.39</v>
      </c>
      <c r="F52">
        <v>0</v>
      </c>
      <c r="G52" t="s">
        <v>45</v>
      </c>
      <c r="H52" s="6">
        <v>46146.297152777777</v>
      </c>
      <c r="I52" s="6" t="s">
        <v>51</v>
      </c>
    </row>
    <row r="53" spans="1:9" hidden="1" x14ac:dyDescent="0.25">
      <c r="A53" t="s">
        <v>54</v>
      </c>
      <c r="B53" t="s">
        <v>69</v>
      </c>
      <c r="C53" t="s">
        <v>70</v>
      </c>
      <c r="D53">
        <v>534</v>
      </c>
      <c r="E53">
        <v>11.39</v>
      </c>
      <c r="F53">
        <v>1</v>
      </c>
      <c r="G53" t="s">
        <v>45</v>
      </c>
      <c r="H53" s="6">
        <v>46146.399722222224</v>
      </c>
      <c r="I53" s="6" t="s">
        <v>51</v>
      </c>
    </row>
    <row r="54" spans="1:9" hidden="1" x14ac:dyDescent="0.25">
      <c r="A54" t="s">
        <v>54</v>
      </c>
      <c r="B54" t="s">
        <v>89</v>
      </c>
      <c r="C54" t="s">
        <v>90</v>
      </c>
      <c r="D54">
        <v>120</v>
      </c>
      <c r="E54">
        <v>0.24940000000000001</v>
      </c>
      <c r="F54">
        <v>1</v>
      </c>
      <c r="G54" t="s">
        <v>45</v>
      </c>
      <c r="H54" s="6">
        <v>46122.614895833336</v>
      </c>
      <c r="I54" s="6" t="s">
        <v>47</v>
      </c>
    </row>
    <row r="55" spans="1:9" hidden="1" x14ac:dyDescent="0.25">
      <c r="A55" t="s">
        <v>54</v>
      </c>
      <c r="B55" t="s">
        <v>89</v>
      </c>
      <c r="C55" t="s">
        <v>90</v>
      </c>
      <c r="D55">
        <v>130</v>
      </c>
      <c r="E55">
        <v>54</v>
      </c>
      <c r="F55">
        <v>1</v>
      </c>
      <c r="G55" t="s">
        <v>45</v>
      </c>
      <c r="H55" s="6">
        <v>46122.614895833336</v>
      </c>
      <c r="I55" s="6" t="s">
        <v>46</v>
      </c>
    </row>
    <row r="56" spans="1:9" hidden="1" x14ac:dyDescent="0.25">
      <c r="A56" t="s">
        <v>54</v>
      </c>
      <c r="B56" t="s">
        <v>79</v>
      </c>
      <c r="C56" t="s">
        <v>80</v>
      </c>
      <c r="D56">
        <v>119</v>
      </c>
      <c r="E56">
        <v>4.5164999999999997</v>
      </c>
      <c r="F56">
        <v>1</v>
      </c>
      <c r="G56" t="s">
        <v>44</v>
      </c>
      <c r="H56" s="6">
        <v>46145.40247685185</v>
      </c>
      <c r="I56" s="6" t="s">
        <v>49</v>
      </c>
    </row>
    <row r="57" spans="1:9" hidden="1" x14ac:dyDescent="0.25">
      <c r="A57" t="s">
        <v>54</v>
      </c>
      <c r="B57" t="s">
        <v>79</v>
      </c>
      <c r="C57" t="s">
        <v>80</v>
      </c>
      <c r="D57">
        <v>120</v>
      </c>
      <c r="E57">
        <v>0.24940000000000001</v>
      </c>
      <c r="F57">
        <v>1</v>
      </c>
      <c r="G57" t="s">
        <v>45</v>
      </c>
      <c r="H57" s="6">
        <v>46122.614930555559</v>
      </c>
      <c r="I57" s="6" t="s">
        <v>47</v>
      </c>
    </row>
    <row r="58" spans="1:9" hidden="1" x14ac:dyDescent="0.25">
      <c r="A58" t="s">
        <v>54</v>
      </c>
      <c r="B58" t="s">
        <v>79</v>
      </c>
      <c r="C58" t="s">
        <v>80</v>
      </c>
      <c r="D58">
        <v>130</v>
      </c>
      <c r="E58">
        <v>54</v>
      </c>
      <c r="F58">
        <v>1</v>
      </c>
      <c r="G58" t="s">
        <v>45</v>
      </c>
      <c r="H58" s="6">
        <v>46122.614930555559</v>
      </c>
      <c r="I58" s="6" t="s">
        <v>46</v>
      </c>
    </row>
    <row r="59" spans="1:9" hidden="1" x14ac:dyDescent="0.25">
      <c r="A59" t="s">
        <v>54</v>
      </c>
      <c r="B59" t="s">
        <v>79</v>
      </c>
      <c r="C59" t="s">
        <v>80</v>
      </c>
      <c r="D59">
        <v>432</v>
      </c>
      <c r="E59">
        <v>0.20930000000000001</v>
      </c>
      <c r="F59">
        <v>1</v>
      </c>
      <c r="G59" t="s">
        <v>44</v>
      </c>
      <c r="H59" s="6">
        <v>46145.40247685185</v>
      </c>
      <c r="I59" s="6" t="s">
        <v>50</v>
      </c>
    </row>
    <row r="60" spans="1:9" hidden="1" x14ac:dyDescent="0.25">
      <c r="A60" t="s">
        <v>54</v>
      </c>
      <c r="B60" t="s">
        <v>79</v>
      </c>
      <c r="C60" t="s">
        <v>80</v>
      </c>
      <c r="D60">
        <v>534</v>
      </c>
      <c r="E60">
        <v>12.04</v>
      </c>
      <c r="F60">
        <v>0</v>
      </c>
      <c r="G60" t="s">
        <v>45</v>
      </c>
      <c r="H60" s="6">
        <v>46146.297291666669</v>
      </c>
      <c r="I60" s="6" t="s">
        <v>51</v>
      </c>
    </row>
    <row r="61" spans="1:9" hidden="1" x14ac:dyDescent="0.25">
      <c r="A61" t="s">
        <v>54</v>
      </c>
      <c r="B61" t="s">
        <v>79</v>
      </c>
      <c r="C61" t="s">
        <v>80</v>
      </c>
      <c r="D61">
        <v>534</v>
      </c>
      <c r="E61">
        <v>12.04</v>
      </c>
      <c r="F61">
        <v>1</v>
      </c>
      <c r="G61" t="s">
        <v>45</v>
      </c>
      <c r="H61" s="6">
        <v>46146.399907407409</v>
      </c>
      <c r="I61" s="6" t="s">
        <v>51</v>
      </c>
    </row>
    <row r="62" spans="1:9" hidden="1" x14ac:dyDescent="0.25">
      <c r="A62" t="s">
        <v>54</v>
      </c>
      <c r="B62" t="s">
        <v>67</v>
      </c>
      <c r="C62" t="s">
        <v>68</v>
      </c>
      <c r="D62">
        <v>119</v>
      </c>
      <c r="E62">
        <v>4.516</v>
      </c>
      <c r="F62">
        <v>1</v>
      </c>
      <c r="G62" t="s">
        <v>44</v>
      </c>
      <c r="H62" s="6">
        <v>46145.402615740742</v>
      </c>
      <c r="I62" s="6" t="s">
        <v>49</v>
      </c>
    </row>
    <row r="63" spans="1:9" hidden="1" x14ac:dyDescent="0.25">
      <c r="A63" t="s">
        <v>54</v>
      </c>
      <c r="B63" t="s">
        <v>67</v>
      </c>
      <c r="C63" t="s">
        <v>68</v>
      </c>
      <c r="D63">
        <v>120</v>
      </c>
      <c r="E63">
        <v>0.24940000000000001</v>
      </c>
      <c r="F63">
        <v>1</v>
      </c>
      <c r="G63" t="s">
        <v>45</v>
      </c>
      <c r="H63" s="6">
        <v>46122.614907407406</v>
      </c>
      <c r="I63" s="6" t="s">
        <v>47</v>
      </c>
    </row>
    <row r="64" spans="1:9" hidden="1" x14ac:dyDescent="0.25">
      <c r="A64" t="s">
        <v>54</v>
      </c>
      <c r="B64" t="s">
        <v>67</v>
      </c>
      <c r="C64" t="s">
        <v>68</v>
      </c>
      <c r="D64">
        <v>130</v>
      </c>
      <c r="E64">
        <v>54</v>
      </c>
      <c r="F64">
        <v>1</v>
      </c>
      <c r="G64" t="s">
        <v>45</v>
      </c>
      <c r="H64" s="6">
        <v>46122.614907407406</v>
      </c>
      <c r="I64" s="6" t="s">
        <v>46</v>
      </c>
    </row>
    <row r="65" spans="1:9" hidden="1" x14ac:dyDescent="0.25">
      <c r="A65" t="s">
        <v>54</v>
      </c>
      <c r="B65" t="s">
        <v>67</v>
      </c>
      <c r="C65" t="s">
        <v>68</v>
      </c>
      <c r="D65">
        <v>432</v>
      </c>
      <c r="E65">
        <v>0.2094</v>
      </c>
      <c r="F65">
        <v>1</v>
      </c>
      <c r="G65" t="s">
        <v>44</v>
      </c>
      <c r="H65" s="6">
        <v>46145.402615740742</v>
      </c>
      <c r="I65" s="6" t="s">
        <v>50</v>
      </c>
    </row>
    <row r="66" spans="1:9" hidden="1" x14ac:dyDescent="0.25">
      <c r="A66" t="s">
        <v>54</v>
      </c>
      <c r="B66" t="s">
        <v>67</v>
      </c>
      <c r="C66" t="s">
        <v>68</v>
      </c>
      <c r="D66">
        <v>534</v>
      </c>
      <c r="E66">
        <v>11.8</v>
      </c>
      <c r="F66">
        <v>0</v>
      </c>
      <c r="G66" t="s">
        <v>45</v>
      </c>
      <c r="H66" s="6">
        <v>46146.297453703701</v>
      </c>
      <c r="I66" s="6" t="s">
        <v>51</v>
      </c>
    </row>
    <row r="67" spans="1:9" hidden="1" x14ac:dyDescent="0.25">
      <c r="A67" t="s">
        <v>54</v>
      </c>
      <c r="B67" t="s">
        <v>67</v>
      </c>
      <c r="C67" t="s">
        <v>68</v>
      </c>
      <c r="D67">
        <v>534</v>
      </c>
      <c r="E67">
        <v>11.8</v>
      </c>
      <c r="F67">
        <v>1</v>
      </c>
      <c r="G67" t="s">
        <v>45</v>
      </c>
      <c r="H67" s="6">
        <v>46146.400034722225</v>
      </c>
      <c r="I67" s="6" t="s">
        <v>51</v>
      </c>
    </row>
    <row r="68" spans="1:9" hidden="1" x14ac:dyDescent="0.25">
      <c r="A68" t="s">
        <v>54</v>
      </c>
      <c r="B68" t="s">
        <v>85</v>
      </c>
      <c r="C68" t="s">
        <v>86</v>
      </c>
      <c r="D68">
        <v>120</v>
      </c>
      <c r="E68">
        <v>0.24940000000000001</v>
      </c>
      <c r="F68">
        <v>1</v>
      </c>
      <c r="G68" t="s">
        <v>45</v>
      </c>
      <c r="H68" s="6">
        <v>46122.614895833336</v>
      </c>
      <c r="I68" s="6" t="s">
        <v>47</v>
      </c>
    </row>
    <row r="69" spans="1:9" hidden="1" x14ac:dyDescent="0.25">
      <c r="A69" t="s">
        <v>54</v>
      </c>
      <c r="B69" t="s">
        <v>85</v>
      </c>
      <c r="C69" t="s">
        <v>86</v>
      </c>
      <c r="D69">
        <v>130</v>
      </c>
      <c r="E69">
        <v>54</v>
      </c>
      <c r="F69">
        <v>1</v>
      </c>
      <c r="G69" t="s">
        <v>45</v>
      </c>
      <c r="H69" s="6">
        <v>46122.614895833336</v>
      </c>
      <c r="I69" s="6" t="s">
        <v>46</v>
      </c>
    </row>
    <row r="70" spans="1:9" hidden="1" x14ac:dyDescent="0.25">
      <c r="A70" t="s">
        <v>54</v>
      </c>
      <c r="B70" t="s">
        <v>77</v>
      </c>
      <c r="C70" t="s">
        <v>78</v>
      </c>
      <c r="D70">
        <v>119</v>
      </c>
      <c r="E70">
        <v>4.5164</v>
      </c>
      <c r="F70">
        <v>1</v>
      </c>
      <c r="G70" t="s">
        <v>44</v>
      </c>
      <c r="H70" s="6">
        <v>46145.402766203704</v>
      </c>
      <c r="I70" s="6" t="s">
        <v>49</v>
      </c>
    </row>
    <row r="71" spans="1:9" hidden="1" x14ac:dyDescent="0.25">
      <c r="A71" t="s">
        <v>54</v>
      </c>
      <c r="B71" t="s">
        <v>77</v>
      </c>
      <c r="C71" t="s">
        <v>78</v>
      </c>
      <c r="D71">
        <v>120</v>
      </c>
      <c r="E71">
        <v>0.24940000000000001</v>
      </c>
      <c r="F71">
        <v>1</v>
      </c>
      <c r="G71" t="s">
        <v>45</v>
      </c>
      <c r="H71" s="6">
        <v>46122.614930555559</v>
      </c>
      <c r="I71" s="6" t="s">
        <v>47</v>
      </c>
    </row>
    <row r="72" spans="1:9" hidden="1" x14ac:dyDescent="0.25">
      <c r="A72" t="s">
        <v>54</v>
      </c>
      <c r="B72" t="s">
        <v>77</v>
      </c>
      <c r="C72" t="s">
        <v>78</v>
      </c>
      <c r="D72">
        <v>130</v>
      </c>
      <c r="E72">
        <v>54</v>
      </c>
      <c r="F72">
        <v>1</v>
      </c>
      <c r="G72" t="s">
        <v>45</v>
      </c>
      <c r="H72" s="6">
        <v>46122.614930555559</v>
      </c>
      <c r="I72" s="6" t="s">
        <v>46</v>
      </c>
    </row>
    <row r="73" spans="1:9" hidden="1" x14ac:dyDescent="0.25">
      <c r="A73" t="s">
        <v>54</v>
      </c>
      <c r="B73" t="s">
        <v>77</v>
      </c>
      <c r="C73" t="s">
        <v>78</v>
      </c>
      <c r="D73">
        <v>432</v>
      </c>
      <c r="E73">
        <v>0.2094</v>
      </c>
      <c r="F73">
        <v>1</v>
      </c>
      <c r="G73" t="s">
        <v>44</v>
      </c>
      <c r="H73" s="6">
        <v>46145.402754629627</v>
      </c>
      <c r="I73" s="6" t="s">
        <v>50</v>
      </c>
    </row>
    <row r="74" spans="1:9" hidden="1" x14ac:dyDescent="0.25">
      <c r="A74" t="s">
        <v>54</v>
      </c>
      <c r="B74" t="s">
        <v>77</v>
      </c>
      <c r="C74" t="s">
        <v>78</v>
      </c>
      <c r="D74">
        <v>534</v>
      </c>
      <c r="E74">
        <v>11.76</v>
      </c>
      <c r="F74">
        <v>0</v>
      </c>
      <c r="G74" t="s">
        <v>45</v>
      </c>
      <c r="H74" s="6">
        <v>46146.297546296293</v>
      </c>
      <c r="I74" s="6" t="s">
        <v>51</v>
      </c>
    </row>
    <row r="75" spans="1:9" hidden="1" x14ac:dyDescent="0.25">
      <c r="A75" t="s">
        <v>54</v>
      </c>
      <c r="B75" t="s">
        <v>77</v>
      </c>
      <c r="C75" t="s">
        <v>78</v>
      </c>
      <c r="D75">
        <v>534</v>
      </c>
      <c r="E75">
        <v>11.76</v>
      </c>
      <c r="F75">
        <v>1</v>
      </c>
      <c r="G75" t="s">
        <v>45</v>
      </c>
      <c r="H75" s="6">
        <v>46146.401180555556</v>
      </c>
      <c r="I75" s="6" t="s">
        <v>51</v>
      </c>
    </row>
    <row r="76" spans="1:9" hidden="1" x14ac:dyDescent="0.25">
      <c r="A76" t="s">
        <v>54</v>
      </c>
      <c r="B76" t="s">
        <v>65</v>
      </c>
      <c r="C76" t="s">
        <v>66</v>
      </c>
      <c r="D76">
        <v>119</v>
      </c>
      <c r="E76">
        <v>4.5163000000000002</v>
      </c>
      <c r="F76">
        <v>0</v>
      </c>
      <c r="G76" t="s">
        <v>44</v>
      </c>
      <c r="H76" s="6">
        <v>46145.401331018518</v>
      </c>
      <c r="I76" s="6" t="s">
        <v>49</v>
      </c>
    </row>
    <row r="77" spans="1:9" hidden="1" x14ac:dyDescent="0.25">
      <c r="A77" t="s">
        <v>54</v>
      </c>
      <c r="B77" t="s">
        <v>65</v>
      </c>
      <c r="C77" t="s">
        <v>66</v>
      </c>
      <c r="D77">
        <v>119</v>
      </c>
      <c r="E77">
        <v>4.5160999999999998</v>
      </c>
      <c r="F77">
        <v>1</v>
      </c>
      <c r="G77" t="s">
        <v>44</v>
      </c>
      <c r="H77" s="6">
        <v>46145.403043981481</v>
      </c>
      <c r="I77" s="6" t="s">
        <v>49</v>
      </c>
    </row>
    <row r="78" spans="1:9" hidden="1" x14ac:dyDescent="0.25">
      <c r="A78" t="s">
        <v>54</v>
      </c>
      <c r="B78" t="s">
        <v>65</v>
      </c>
      <c r="C78" t="s">
        <v>66</v>
      </c>
      <c r="D78">
        <v>120</v>
      </c>
      <c r="E78">
        <v>0.24940000000000001</v>
      </c>
      <c r="F78">
        <v>1</v>
      </c>
      <c r="G78" t="s">
        <v>45</v>
      </c>
      <c r="H78" s="6">
        <v>46122.614907407406</v>
      </c>
      <c r="I78" s="6" t="s">
        <v>47</v>
      </c>
    </row>
    <row r="79" spans="1:9" hidden="1" x14ac:dyDescent="0.25">
      <c r="A79" t="s">
        <v>54</v>
      </c>
      <c r="B79" t="s">
        <v>65</v>
      </c>
      <c r="C79" t="s">
        <v>66</v>
      </c>
      <c r="D79">
        <v>130</v>
      </c>
      <c r="E79">
        <v>54</v>
      </c>
      <c r="F79">
        <v>1</v>
      </c>
      <c r="G79" t="s">
        <v>45</v>
      </c>
      <c r="H79" s="6">
        <v>46122.614907407406</v>
      </c>
      <c r="I79" s="6" t="s">
        <v>46</v>
      </c>
    </row>
    <row r="80" spans="1:9" hidden="1" x14ac:dyDescent="0.25">
      <c r="A80" t="s">
        <v>54</v>
      </c>
      <c r="B80" t="s">
        <v>65</v>
      </c>
      <c r="C80" t="s">
        <v>66</v>
      </c>
      <c r="D80">
        <v>432</v>
      </c>
      <c r="E80">
        <v>0.21049999999999999</v>
      </c>
      <c r="F80">
        <v>0</v>
      </c>
      <c r="G80" t="s">
        <v>44</v>
      </c>
      <c r="H80" s="6">
        <v>46145.401331018518</v>
      </c>
      <c r="I80" s="6" t="s">
        <v>50</v>
      </c>
    </row>
    <row r="81" spans="1:9" hidden="1" x14ac:dyDescent="0.25">
      <c r="A81" t="s">
        <v>54</v>
      </c>
      <c r="B81" t="s">
        <v>65</v>
      </c>
      <c r="C81" t="s">
        <v>66</v>
      </c>
      <c r="D81">
        <v>432</v>
      </c>
      <c r="E81">
        <v>0.2087</v>
      </c>
      <c r="F81">
        <v>1</v>
      </c>
      <c r="G81" t="s">
        <v>44</v>
      </c>
      <c r="H81" s="6">
        <v>46145.403043981481</v>
      </c>
      <c r="I81" s="6" t="s">
        <v>50</v>
      </c>
    </row>
    <row r="82" spans="1:9" hidden="1" x14ac:dyDescent="0.25">
      <c r="A82" t="s">
        <v>54</v>
      </c>
      <c r="B82" t="s">
        <v>65</v>
      </c>
      <c r="C82" t="s">
        <v>66</v>
      </c>
      <c r="D82">
        <v>534</v>
      </c>
      <c r="E82">
        <v>11.61</v>
      </c>
      <c r="F82">
        <v>0</v>
      </c>
      <c r="G82" t="s">
        <v>45</v>
      </c>
      <c r="H82" s="6">
        <v>46146.297650462962</v>
      </c>
      <c r="I82" s="6" t="s">
        <v>51</v>
      </c>
    </row>
    <row r="83" spans="1:9" hidden="1" x14ac:dyDescent="0.25">
      <c r="A83" t="s">
        <v>54</v>
      </c>
      <c r="B83" t="s">
        <v>65</v>
      </c>
      <c r="C83" t="s">
        <v>66</v>
      </c>
      <c r="D83">
        <v>534</v>
      </c>
      <c r="E83">
        <v>11.61</v>
      </c>
      <c r="F83">
        <v>1</v>
      </c>
      <c r="G83" t="s">
        <v>45</v>
      </c>
      <c r="H83" s="6">
        <v>46146.401585648149</v>
      </c>
      <c r="I83" s="6" t="s">
        <v>51</v>
      </c>
    </row>
    <row r="84" spans="1:9" hidden="1" x14ac:dyDescent="0.25">
      <c r="A84" t="s">
        <v>54</v>
      </c>
      <c r="B84" t="s">
        <v>87</v>
      </c>
      <c r="C84" t="s">
        <v>88</v>
      </c>
      <c r="D84">
        <v>120</v>
      </c>
      <c r="E84">
        <v>0.24940000000000001</v>
      </c>
      <c r="F84">
        <v>1</v>
      </c>
      <c r="G84" t="s">
        <v>45</v>
      </c>
      <c r="H84" s="6">
        <v>46122.614930555559</v>
      </c>
      <c r="I84" s="6" t="s">
        <v>47</v>
      </c>
    </row>
    <row r="85" spans="1:9" hidden="1" x14ac:dyDescent="0.25">
      <c r="A85" t="s">
        <v>54</v>
      </c>
      <c r="B85" t="s">
        <v>87</v>
      </c>
      <c r="C85" t="s">
        <v>88</v>
      </c>
      <c r="D85">
        <v>130</v>
      </c>
      <c r="E85">
        <v>54</v>
      </c>
      <c r="F85">
        <v>1</v>
      </c>
      <c r="G85" t="s">
        <v>45</v>
      </c>
      <c r="H85" s="6">
        <v>46122.614930555559</v>
      </c>
      <c r="I85" s="6" t="s">
        <v>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9667-D232-4E53-8F39-DD9756391942}">
  <sheetPr codeName="Sheet2">
    <pageSetUpPr fitToPage="1"/>
  </sheetPr>
  <dimension ref="A1:S55"/>
  <sheetViews>
    <sheetView zoomScale="140" zoomScaleNormal="140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activeCell="B2" sqref="B2:K2"/>
    </sheetView>
  </sheetViews>
  <sheetFormatPr defaultRowHeight="15" x14ac:dyDescent="0.25"/>
  <cols>
    <col min="1" max="1" width="9.5703125" bestFit="1" customWidth="1"/>
    <col min="2" max="2" width="10.85546875" bestFit="1" customWidth="1"/>
    <col min="4" max="4" width="7" bestFit="1" customWidth="1"/>
    <col min="5" max="7" width="13.140625" customWidth="1"/>
    <col min="12" max="12" width="11.140625" bestFit="1" customWidth="1"/>
    <col min="15" max="15" width="18.85546875" bestFit="1" customWidth="1"/>
    <col min="16" max="16" width="11.85546875" customWidth="1"/>
    <col min="17" max="17" width="18.42578125" bestFit="1" customWidth="1"/>
    <col min="18" max="19" width="19.85546875" bestFit="1" customWidth="1"/>
  </cols>
  <sheetData>
    <row r="1" spans="1:19" ht="45" x14ac:dyDescent="0.25">
      <c r="A1" t="s">
        <v>43</v>
      </c>
      <c r="B1" t="s">
        <v>4</v>
      </c>
      <c r="C1" s="3" t="s">
        <v>17</v>
      </c>
      <c r="D1" s="3" t="s">
        <v>15</v>
      </c>
      <c r="E1" s="3" t="s">
        <v>14</v>
      </c>
      <c r="F1" s="3" t="s">
        <v>30</v>
      </c>
      <c r="G1" s="3" t="s">
        <v>24</v>
      </c>
      <c r="H1" s="3" t="s">
        <v>16</v>
      </c>
      <c r="I1" s="3" t="s">
        <v>26</v>
      </c>
      <c r="J1" s="3" t="s">
        <v>25</v>
      </c>
      <c r="K1" s="3" t="s">
        <v>27</v>
      </c>
      <c r="L1" s="3" t="s">
        <v>18</v>
      </c>
      <c r="M1" s="3" t="s">
        <v>11</v>
      </c>
      <c r="N1" s="3" t="s">
        <v>10</v>
      </c>
      <c r="O1" s="3" t="s">
        <v>12</v>
      </c>
      <c r="P1" s="3" t="s">
        <v>13</v>
      </c>
      <c r="Q1" s="3" t="s">
        <v>21</v>
      </c>
      <c r="R1" s="3" t="s">
        <v>22</v>
      </c>
      <c r="S1" s="3" t="s">
        <v>23</v>
      </c>
    </row>
    <row r="2" spans="1:19" ht="16.5" x14ac:dyDescent="0.3">
      <c r="A2" s="32">
        <v>196922</v>
      </c>
      <c r="B2" s="31"/>
      <c r="C2" s="1">
        <f>SUMIFS(Measurements!$E:$E,Measurements!$B:$B,Table_Query_from_Venus2[[#This Row],[serial_id]],Measurements!D:D,119,Measurements!H:H,'Removal Sheet'!Q2)</f>
        <v>0</v>
      </c>
      <c r="D2">
        <f>SUMIFS(Measurements!$E:$E,Measurements!$B:$B,Table_Query_from_Venus2[[#This Row],[serial_id]],Measurements!$D:$D,"432",Measurements!$H:$H,'Removal Sheet'!R2)</f>
        <v>0</v>
      </c>
      <c r="E2" s="4" t="e">
        <f>O2-0.0075</f>
        <v>#NUM!</v>
      </c>
      <c r="F2" s="4" t="e">
        <f t="shared" ref="F2:F17" si="0">C2-E2</f>
        <v>#NUM!</v>
      </c>
      <c r="G2" s="4"/>
      <c r="H2" s="1">
        <f t="shared" ref="H2:H34" si="1">C2-D2</f>
        <v>0</v>
      </c>
      <c r="I2" s="1">
        <f t="shared" ref="I2:I34" si="2">H2-J2</f>
        <v>-4.1470000000000002</v>
      </c>
      <c r="J2" s="30">
        <v>4.1470000000000002</v>
      </c>
      <c r="K2" s="4" t="e">
        <f t="shared" ref="K2:K34" si="3">C2-E2-I2</f>
        <v>#NUM!</v>
      </c>
      <c r="L2" s="5">
        <f>SUMIFS(Measurements!$E:$E,Measurements!$B:$B,Table_Query_from_Venus2[[#This Row],[serial_id]],Measurements!$D:$D,"534",Measurements!$H:$H,'Removal Sheet'!S2)/100</f>
        <v>0</v>
      </c>
      <c r="M2" t="e">
        <f t="shared" ref="M2:M34" si="4">-LOG10(L2)</f>
        <v>#NUM!</v>
      </c>
      <c r="N2" s="2" t="e">
        <f t="shared" ref="N2:N34" si="5">0.9055*M2/D2</f>
        <v>#NUM!</v>
      </c>
      <c r="O2" s="4" t="e">
        <f t="shared" ref="O2:O34" si="6">D2-P2</f>
        <v>#NUM!</v>
      </c>
      <c r="P2" s="4" t="e">
        <f>0.9055*(-LOG10(Main!$H$2/100)/'Removal Sheet'!$N2)</f>
        <v>#NUM!</v>
      </c>
      <c r="Q2" s="7">
        <f>_xlfn.MAXIFS(Measurements!$H:$H,Measurements!$C:$C,TRIM(Table_Query_from_Venus2[[#This Row],[serial_id]]),Measurements!$D:$D,"119")</f>
        <v>0</v>
      </c>
      <c r="R2" s="7">
        <f>_xlfn.MAXIFS(Measurements!$H:$H,Measurements!$C:$C,TRIM(Table_Query_from_Venus2[[#This Row],[serial_id]]),Measurements!$D:$D,"432")</f>
        <v>0</v>
      </c>
      <c r="S2" s="7">
        <f>_xlfn.MAXIFS(Measurements!$H:$H,Measurements!$C:$C,TRIM(Table_Query_from_Venus2[[#This Row],[serial_id]]),Measurements!$D:$D,"534")</f>
        <v>0</v>
      </c>
    </row>
    <row r="3" spans="1:19" ht="16.5" x14ac:dyDescent="0.3">
      <c r="A3" s="33">
        <v>196922</v>
      </c>
      <c r="C3" s="1">
        <f>SUMIFS(Measurements!$E:$E,Measurements!$B:$B,Table_Query_from_Venus2[[#This Row],[serial_id]],Measurements!D:D,119,Measurements!H:H,'Removal Sheet'!Q3)</f>
        <v>0</v>
      </c>
      <c r="D3">
        <f>SUMIFS(Measurements!$E:$E,Measurements!$B:$B,Table_Query_from_Venus2[[#This Row],[serial_id]],Measurements!$D:$D,"432",Measurements!$H:$H,'Removal Sheet'!R3)</f>
        <v>0</v>
      </c>
      <c r="E3" s="4" t="e">
        <f t="shared" ref="E3:E53" si="7">O3-0.0075</f>
        <v>#NUM!</v>
      </c>
      <c r="F3" s="4" t="e">
        <f t="shared" si="0"/>
        <v>#NUM!</v>
      </c>
      <c r="G3" s="4"/>
      <c r="H3" s="1">
        <f t="shared" si="1"/>
        <v>0</v>
      </c>
      <c r="I3" s="1">
        <f t="shared" si="2"/>
        <v>-4.1470000000000002</v>
      </c>
      <c r="J3" s="30">
        <v>4.1470000000000002</v>
      </c>
      <c r="K3" s="4" t="e">
        <f t="shared" si="3"/>
        <v>#NUM!</v>
      </c>
      <c r="L3" s="5">
        <f>SUMIFS(Measurements!$E:$E,Measurements!$B:$B,Table_Query_from_Venus2[[#This Row],[serial_id]],Measurements!$D:$D,"534",Measurements!$H:$H,'Removal Sheet'!S3)/100</f>
        <v>0</v>
      </c>
      <c r="M3" t="e">
        <f t="shared" si="4"/>
        <v>#NUM!</v>
      </c>
      <c r="N3" s="2" t="e">
        <f t="shared" si="5"/>
        <v>#NUM!</v>
      </c>
      <c r="O3" s="4" t="e">
        <f t="shared" si="6"/>
        <v>#NUM!</v>
      </c>
      <c r="P3" s="4" t="e">
        <f>0.9055*(-LOG10(Main!$H$2/100)/'Removal Sheet'!$N3)</f>
        <v>#NUM!</v>
      </c>
      <c r="Q3" s="7">
        <f>_xlfn.MAXIFS(Measurements!H:H,Measurements!C:C,TRIM(Table_Query_from_Venus2[[#This Row],[serial_id]]),Measurements!D:D,"119")</f>
        <v>0</v>
      </c>
      <c r="R3" s="7">
        <f>_xlfn.MAXIFS(Measurements!$H:$H,Measurements!$C:$C,TRIM(Table_Query_from_Venus2[[#This Row],[serial_id]]),Measurements!$D:$D,"432")</f>
        <v>0</v>
      </c>
      <c r="S3" s="7">
        <f>_xlfn.MAXIFS(Measurements!$H:$H,Measurements!$C:$C,TRIM(Table_Query_from_Venus2[[#This Row],[serial_id]]),Measurements!$D:$D,"534")</f>
        <v>0</v>
      </c>
    </row>
    <row r="4" spans="1:19" ht="16.5" x14ac:dyDescent="0.3">
      <c r="A4" s="32">
        <v>196922</v>
      </c>
      <c r="C4" s="1">
        <f>SUMIFS(Measurements!$E:$E,Measurements!$B:$B,Table_Query_from_Venus2[[#This Row],[serial_id]],Measurements!D:D,119,Measurements!H:H,'Removal Sheet'!Q4)</f>
        <v>0</v>
      </c>
      <c r="D4">
        <f>SUMIFS(Measurements!$E:$E,Measurements!$B:$B,Table_Query_from_Venus2[[#This Row],[serial_id]],Measurements!$D:$D,"432",Measurements!$H:$H,'Removal Sheet'!R4)</f>
        <v>0</v>
      </c>
      <c r="E4" s="4" t="e">
        <f t="shared" si="7"/>
        <v>#NUM!</v>
      </c>
      <c r="F4" s="4" t="e">
        <f t="shared" si="0"/>
        <v>#NUM!</v>
      </c>
      <c r="G4" s="4"/>
      <c r="H4" s="1">
        <f t="shared" si="1"/>
        <v>0</v>
      </c>
      <c r="I4" s="1">
        <f t="shared" si="2"/>
        <v>-4.1470000000000002</v>
      </c>
      <c r="J4" s="30">
        <v>4.1470000000000002</v>
      </c>
      <c r="K4" s="4" t="e">
        <f t="shared" si="3"/>
        <v>#NUM!</v>
      </c>
      <c r="L4" s="5">
        <f>SUMIFS(Measurements!$E:$E,Measurements!$B:$B,Table_Query_from_Venus2[[#This Row],[serial_id]],Measurements!$D:$D,"534",Measurements!$H:$H,'Removal Sheet'!S4)/100</f>
        <v>0</v>
      </c>
      <c r="M4" t="e">
        <f t="shared" si="4"/>
        <v>#NUM!</v>
      </c>
      <c r="N4" s="2" t="e">
        <f t="shared" si="5"/>
        <v>#NUM!</v>
      </c>
      <c r="O4" s="4" t="e">
        <f t="shared" si="6"/>
        <v>#NUM!</v>
      </c>
      <c r="P4" s="4" t="e">
        <f>0.9055*(-LOG10(Main!$H$2/100)/'Removal Sheet'!$N4)</f>
        <v>#NUM!</v>
      </c>
      <c r="Q4" s="7">
        <f>_xlfn.MAXIFS(Measurements!H:H,Measurements!C:C,TRIM(Table_Query_from_Venus2[[#This Row],[serial_id]]),Measurements!D:D,"119")</f>
        <v>0</v>
      </c>
      <c r="R4" s="7">
        <f>_xlfn.MAXIFS(Measurements!$H:$H,Measurements!$C:$C,TRIM(Table_Query_from_Venus2[[#This Row],[serial_id]]),Measurements!$D:$D,"432")</f>
        <v>0</v>
      </c>
      <c r="S4" s="7">
        <f>_xlfn.MAXIFS(Measurements!$H:$H,Measurements!$C:$C,TRIM(Table_Query_from_Venus2[[#This Row],[serial_id]]),Measurements!$D:$D,"534")</f>
        <v>0</v>
      </c>
    </row>
    <row r="5" spans="1:19" ht="16.5" x14ac:dyDescent="0.3">
      <c r="A5" s="33">
        <v>196964</v>
      </c>
      <c r="C5" s="1">
        <f>SUMIFS(Measurements!$E:$E,Measurements!$B:$B,Table_Query_from_Venus2[[#This Row],[serial_id]],Measurements!D:D,119,Measurements!H:H,'Removal Sheet'!Q5)</f>
        <v>0</v>
      </c>
      <c r="D5">
        <f>SUMIFS(Measurements!$E:$E,Measurements!$B:$B,Table_Query_from_Venus2[[#This Row],[serial_id]],Measurements!$D:$D,"432",Measurements!$H:$H,'Removal Sheet'!R5)</f>
        <v>0</v>
      </c>
      <c r="E5" s="4" t="e">
        <f t="shared" si="7"/>
        <v>#NUM!</v>
      </c>
      <c r="F5" s="4" t="e">
        <f>C5-E5</f>
        <v>#NUM!</v>
      </c>
      <c r="G5" s="4"/>
      <c r="H5" s="1">
        <f t="shared" si="1"/>
        <v>0</v>
      </c>
      <c r="I5" s="1">
        <f t="shared" si="2"/>
        <v>-4.1470000000000002</v>
      </c>
      <c r="J5" s="30">
        <v>4.1470000000000002</v>
      </c>
      <c r="K5" s="4" t="e">
        <f t="shared" si="3"/>
        <v>#NUM!</v>
      </c>
      <c r="L5" s="5">
        <f>SUMIFS(Measurements!$E:$E,Measurements!$B:$B,Table_Query_from_Venus2[[#This Row],[serial_id]],Measurements!$D:$D,"534",Measurements!$H:$H,'Removal Sheet'!S5)/100</f>
        <v>0</v>
      </c>
      <c r="M5" t="e">
        <f t="shared" si="4"/>
        <v>#NUM!</v>
      </c>
      <c r="N5" s="2" t="e">
        <f t="shared" si="5"/>
        <v>#NUM!</v>
      </c>
      <c r="O5" s="4" t="e">
        <f t="shared" si="6"/>
        <v>#NUM!</v>
      </c>
      <c r="P5" s="4" t="e">
        <f>0.9055*(-LOG10(Main!$H$2/100)/'Removal Sheet'!$N5)</f>
        <v>#NUM!</v>
      </c>
      <c r="Q5" s="7">
        <f>_xlfn.MAXIFS(Measurements!H:H,Measurements!C:C,TRIM(Table_Query_from_Venus2[[#This Row],[serial_id]]),Measurements!D:D,"119")</f>
        <v>0</v>
      </c>
      <c r="R5" s="7">
        <f>_xlfn.MAXIFS(Measurements!$H:$H,Measurements!$C:$C,TRIM(Table_Query_from_Venus2[[#This Row],[serial_id]]),Measurements!$D:$D,"432")</f>
        <v>0</v>
      </c>
      <c r="S5" s="7">
        <f>_xlfn.MAXIFS(Measurements!$H:$H,Measurements!$C:$C,TRIM(Table_Query_from_Venus2[[#This Row],[serial_id]]),Measurements!$D:$D,"534")</f>
        <v>0</v>
      </c>
    </row>
    <row r="6" spans="1:19" ht="16.5" x14ac:dyDescent="0.3">
      <c r="A6" s="32">
        <v>196922</v>
      </c>
      <c r="C6" s="1">
        <f>SUMIFS(Measurements!$E:$E,Measurements!$B:$B,Table_Query_from_Venus2[[#This Row],[serial_id]],Measurements!D:D,119,Measurements!H:H,'Removal Sheet'!Q6)</f>
        <v>0</v>
      </c>
      <c r="D6">
        <f>SUMIFS(Measurements!$E:$E,Measurements!$B:$B,Table_Query_from_Venus2[[#This Row],[serial_id]],Measurements!$D:$D,"432",Measurements!$H:$H,'Removal Sheet'!R6)</f>
        <v>0</v>
      </c>
      <c r="E6" s="4" t="e">
        <f t="shared" si="7"/>
        <v>#NUM!</v>
      </c>
      <c r="F6" s="4" t="e">
        <f t="shared" si="0"/>
        <v>#NUM!</v>
      </c>
      <c r="G6" s="4"/>
      <c r="H6" s="1">
        <f t="shared" si="1"/>
        <v>0</v>
      </c>
      <c r="I6" s="1">
        <f t="shared" si="2"/>
        <v>-4.1470000000000002</v>
      </c>
      <c r="J6" s="30">
        <v>4.1470000000000002</v>
      </c>
      <c r="K6" s="4" t="e">
        <f t="shared" si="3"/>
        <v>#NUM!</v>
      </c>
      <c r="L6" s="5">
        <f>SUMIFS(Measurements!$E:$E,Measurements!$B:$B,Table_Query_from_Venus2[[#This Row],[serial_id]],Measurements!$D:$D,"534",Measurements!$H:$H,'Removal Sheet'!S6)/100</f>
        <v>0</v>
      </c>
      <c r="M6" t="e">
        <f t="shared" si="4"/>
        <v>#NUM!</v>
      </c>
      <c r="N6" s="2" t="e">
        <f t="shared" si="5"/>
        <v>#NUM!</v>
      </c>
      <c r="O6" s="4" t="e">
        <f t="shared" si="6"/>
        <v>#NUM!</v>
      </c>
      <c r="P6" s="4" t="e">
        <f>0.9055*(-LOG10(Main!$H$2/100)/'Removal Sheet'!$N6)</f>
        <v>#NUM!</v>
      </c>
      <c r="Q6" s="7">
        <f>_xlfn.MAXIFS(Measurements!H:H,Measurements!C:C,TRIM(Table_Query_from_Venus2[[#This Row],[serial_id]]),Measurements!D:D,"119")</f>
        <v>0</v>
      </c>
      <c r="R6" s="7">
        <f>_xlfn.MAXIFS(Measurements!$H:$H,Measurements!$C:$C,TRIM(Table_Query_from_Venus2[[#This Row],[serial_id]]),Measurements!$D:$D,"432")</f>
        <v>0</v>
      </c>
      <c r="S6" s="7">
        <f>_xlfn.MAXIFS(Measurements!$H:$H,Measurements!$C:$C,TRIM(Table_Query_from_Venus2[[#This Row],[serial_id]]),Measurements!$D:$D,"534")</f>
        <v>0</v>
      </c>
    </row>
    <row r="7" spans="1:19" ht="16.5" x14ac:dyDescent="0.3">
      <c r="A7" s="33">
        <v>196964</v>
      </c>
      <c r="C7" s="1">
        <f>SUMIFS(Measurements!$E:$E,Measurements!$B:$B,Table_Query_from_Venus2[[#This Row],[serial_id]],Measurements!D:D,119,Measurements!H:H,'Removal Sheet'!Q7)</f>
        <v>0</v>
      </c>
      <c r="D7">
        <f>SUMIFS(Measurements!$E:$E,Measurements!$B:$B,Table_Query_from_Venus2[[#This Row],[serial_id]],Measurements!$D:$D,"432",Measurements!$H:$H,'Removal Sheet'!R7)</f>
        <v>0</v>
      </c>
      <c r="E7" s="4" t="e">
        <f t="shared" si="7"/>
        <v>#NUM!</v>
      </c>
      <c r="F7" s="4" t="e">
        <f t="shared" si="0"/>
        <v>#NUM!</v>
      </c>
      <c r="G7" s="4"/>
      <c r="H7" s="1">
        <f t="shared" si="1"/>
        <v>0</v>
      </c>
      <c r="I7" s="1">
        <f t="shared" si="2"/>
        <v>-4.1470000000000002</v>
      </c>
      <c r="J7" s="30">
        <v>4.1470000000000002</v>
      </c>
      <c r="K7" s="4" t="e">
        <f t="shared" si="3"/>
        <v>#NUM!</v>
      </c>
      <c r="L7" s="5">
        <f>SUMIFS(Measurements!$E:$E,Measurements!$B:$B,Table_Query_from_Venus2[[#This Row],[serial_id]],Measurements!$D:$D,"534",Measurements!$H:$H,'Removal Sheet'!S7)/100</f>
        <v>0</v>
      </c>
      <c r="M7" t="e">
        <f t="shared" si="4"/>
        <v>#NUM!</v>
      </c>
      <c r="N7" s="2" t="e">
        <f t="shared" si="5"/>
        <v>#NUM!</v>
      </c>
      <c r="O7" s="4" t="e">
        <f t="shared" si="6"/>
        <v>#NUM!</v>
      </c>
      <c r="P7" s="4" t="e">
        <f>0.9055*(-LOG10(Main!$H$2/100)/'Removal Sheet'!$N7)</f>
        <v>#NUM!</v>
      </c>
      <c r="Q7" s="7">
        <f>_xlfn.MAXIFS(Measurements!H:H,Measurements!C:C,TRIM(Table_Query_from_Venus2[[#This Row],[serial_id]]),Measurements!D:D,"119")</f>
        <v>0</v>
      </c>
      <c r="R7" s="7">
        <f>_xlfn.MAXIFS(Measurements!$H:$H,Measurements!$C:$C,TRIM(Table_Query_from_Venus2[[#This Row],[serial_id]]),Measurements!$D:$D,"432")</f>
        <v>0</v>
      </c>
      <c r="S7" s="7">
        <f>_xlfn.MAXIFS(Measurements!$H:$H,Measurements!$C:$C,TRIM(Table_Query_from_Venus2[[#This Row],[serial_id]]),Measurements!$D:$D,"534")</f>
        <v>0</v>
      </c>
    </row>
    <row r="8" spans="1:19" ht="16.5" x14ac:dyDescent="0.3">
      <c r="A8" s="32">
        <v>196922</v>
      </c>
      <c r="C8" s="1">
        <f>SUMIFS(Measurements!$E:$E,Measurements!$B:$B,Table_Query_from_Venus2[[#This Row],[serial_id]],Measurements!D:D,119,Measurements!H:H,'Removal Sheet'!Q8)</f>
        <v>0</v>
      </c>
      <c r="D8">
        <f>SUMIFS(Measurements!$E:$E,Measurements!$B:$B,Table_Query_from_Venus2[[#This Row],[serial_id]],Measurements!$D:$D,"432",Measurements!$H:$H,'Removal Sheet'!R8)</f>
        <v>0</v>
      </c>
      <c r="E8" s="4" t="e">
        <f t="shared" si="7"/>
        <v>#NUM!</v>
      </c>
      <c r="F8" s="4" t="e">
        <f t="shared" si="0"/>
        <v>#NUM!</v>
      </c>
      <c r="G8" s="4"/>
      <c r="H8" s="1">
        <f t="shared" si="1"/>
        <v>0</v>
      </c>
      <c r="I8" s="1">
        <f t="shared" si="2"/>
        <v>-4.1470000000000002</v>
      </c>
      <c r="J8" s="30">
        <v>4.1470000000000002</v>
      </c>
      <c r="K8" s="4" t="e">
        <f t="shared" si="3"/>
        <v>#NUM!</v>
      </c>
      <c r="L8" s="5">
        <f>SUMIFS(Measurements!$E:$E,Measurements!$B:$B,Table_Query_from_Venus2[[#This Row],[serial_id]],Measurements!$D:$D,"534",Measurements!$H:$H,'Removal Sheet'!S8)/100</f>
        <v>0</v>
      </c>
      <c r="M8" t="e">
        <f t="shared" si="4"/>
        <v>#NUM!</v>
      </c>
      <c r="N8" s="2" t="e">
        <f t="shared" si="5"/>
        <v>#NUM!</v>
      </c>
      <c r="O8" s="4" t="e">
        <f t="shared" si="6"/>
        <v>#NUM!</v>
      </c>
      <c r="P8" s="4" t="e">
        <f>0.9055*(-LOG10(Main!$H$2/100)/'Removal Sheet'!$N8)</f>
        <v>#NUM!</v>
      </c>
      <c r="Q8" s="7">
        <f>_xlfn.MAXIFS(Measurements!H:H,Measurements!C:C,TRIM(Table_Query_from_Venus2[[#This Row],[serial_id]]),Measurements!D:D,"119")</f>
        <v>0</v>
      </c>
      <c r="R8" s="7">
        <f>_xlfn.MAXIFS(Measurements!$H:$H,Measurements!$C:$C,TRIM(Table_Query_from_Venus2[[#This Row],[serial_id]]),Measurements!$D:$D,"432")</f>
        <v>0</v>
      </c>
      <c r="S8" s="7">
        <f>_xlfn.MAXIFS(Measurements!$H:$H,Measurements!$C:$C,TRIM(Table_Query_from_Venus2[[#This Row],[serial_id]]),Measurements!$D:$D,"534")</f>
        <v>0</v>
      </c>
    </row>
    <row r="9" spans="1:19" ht="16.5" x14ac:dyDescent="0.3">
      <c r="A9" s="33">
        <v>196922</v>
      </c>
      <c r="C9" s="1">
        <f>SUMIFS(Measurements!$E:$E,Measurements!$B:$B,Table_Query_from_Venus2[[#This Row],[serial_id]],Measurements!D:D,119,Measurements!H:H,'Removal Sheet'!Q9)</f>
        <v>0</v>
      </c>
      <c r="D9">
        <f>SUMIFS(Measurements!$E:$E,Measurements!$B:$B,Table_Query_from_Venus2[[#This Row],[serial_id]],Measurements!$D:$D,"432",Measurements!$H:$H,'Removal Sheet'!R9)</f>
        <v>0</v>
      </c>
      <c r="E9" s="4" t="e">
        <f t="shared" si="7"/>
        <v>#NUM!</v>
      </c>
      <c r="F9" s="4" t="e">
        <f t="shared" si="0"/>
        <v>#NUM!</v>
      </c>
      <c r="G9" s="4"/>
      <c r="H9" s="1">
        <f t="shared" si="1"/>
        <v>0</v>
      </c>
      <c r="I9" s="1">
        <f t="shared" si="2"/>
        <v>-4.1470000000000002</v>
      </c>
      <c r="J9" s="30">
        <v>4.1470000000000002</v>
      </c>
      <c r="K9" s="4" t="e">
        <f t="shared" si="3"/>
        <v>#NUM!</v>
      </c>
      <c r="L9" s="5">
        <f>SUMIFS(Measurements!$E:$E,Measurements!$B:$B,Table_Query_from_Venus2[[#This Row],[serial_id]],Measurements!$D:$D,"534",Measurements!$H:$H,'Removal Sheet'!S9)/100</f>
        <v>0</v>
      </c>
      <c r="M9" t="e">
        <f t="shared" si="4"/>
        <v>#NUM!</v>
      </c>
      <c r="N9" s="2" t="e">
        <f t="shared" si="5"/>
        <v>#NUM!</v>
      </c>
      <c r="O9" s="4" t="e">
        <f t="shared" si="6"/>
        <v>#NUM!</v>
      </c>
      <c r="P9" s="4" t="e">
        <f>0.9055*(-LOG10(Main!$H$2/100)/'Removal Sheet'!$N9)</f>
        <v>#NUM!</v>
      </c>
      <c r="Q9" s="7">
        <f>_xlfn.MAXIFS(Measurements!H:H,Measurements!C:C,TRIM(Table_Query_from_Venus2[[#This Row],[serial_id]]),Measurements!D:D,"119")</f>
        <v>0</v>
      </c>
      <c r="R9" s="7">
        <f>_xlfn.MAXIFS(Measurements!$H:$H,Measurements!$C:$C,TRIM(Table_Query_from_Venus2[[#This Row],[serial_id]]),Measurements!$D:$D,"432")</f>
        <v>0</v>
      </c>
      <c r="S9" s="7">
        <f>_xlfn.MAXIFS(Measurements!$H:$H,Measurements!$C:$C,TRIM(Table_Query_from_Venus2[[#This Row],[serial_id]]),Measurements!$D:$D,"534")</f>
        <v>0</v>
      </c>
    </row>
    <row r="10" spans="1:19" ht="16.5" x14ac:dyDescent="0.3">
      <c r="A10" s="32">
        <v>196922</v>
      </c>
      <c r="C10" s="1">
        <f>SUMIFS(Measurements!$E:$E,Measurements!$B:$B,Table_Query_from_Venus2[[#This Row],[serial_id]],Measurements!D:D,119,Measurements!H:H,'Removal Sheet'!Q10)</f>
        <v>0</v>
      </c>
      <c r="D10">
        <f>SUMIFS(Measurements!$E:$E,Measurements!$B:$B,Table_Query_from_Venus2[[#This Row],[serial_id]],Measurements!$D:$D,"432",Measurements!$H:$H,'Removal Sheet'!R10)</f>
        <v>0</v>
      </c>
      <c r="E10" s="4" t="e">
        <f t="shared" si="7"/>
        <v>#NUM!</v>
      </c>
      <c r="F10" s="4" t="e">
        <f t="shared" ref="F10" si="8">C10-E10</f>
        <v>#NUM!</v>
      </c>
      <c r="G10" s="4"/>
      <c r="H10" s="1">
        <f t="shared" ref="H10" si="9">C10-D10</f>
        <v>0</v>
      </c>
      <c r="I10" s="1">
        <f t="shared" ref="I10" si="10">H10-J10</f>
        <v>-4.1470000000000002</v>
      </c>
      <c r="J10" s="30">
        <v>4.1470000000000002</v>
      </c>
      <c r="K10" s="4" t="e">
        <f t="shared" ref="K10" si="11">C10-E10-I10</f>
        <v>#NUM!</v>
      </c>
      <c r="L10" s="5">
        <f>SUMIFS(Measurements!$E:$E,Measurements!$B:$B,Table_Query_from_Venus2[[#This Row],[serial_id]],Measurements!$D:$D,"534",Measurements!$H:$H,'Removal Sheet'!S10)/100</f>
        <v>0</v>
      </c>
      <c r="M10" t="e">
        <f t="shared" ref="M10" si="12">-LOG10(L10)</f>
        <v>#NUM!</v>
      </c>
      <c r="N10" s="2" t="e">
        <f t="shared" ref="N10" si="13">0.9055*M10/D10</f>
        <v>#NUM!</v>
      </c>
      <c r="O10" s="4" t="e">
        <f t="shared" ref="O10" si="14">D10-P10</f>
        <v>#NUM!</v>
      </c>
      <c r="P10" s="4" t="e">
        <f>0.9055*(-LOG10(Main!$H$2/100)/'Removal Sheet'!$N10)</f>
        <v>#NUM!</v>
      </c>
      <c r="Q10" s="7">
        <f>_xlfn.MAXIFS(Measurements!H:H,Measurements!C:C,TRIM(Table_Query_from_Venus2[[#This Row],[serial_id]]),Measurements!D:D,"119")</f>
        <v>0</v>
      </c>
      <c r="R10" s="7">
        <f>_xlfn.MAXIFS(Measurements!$H:$H,Measurements!$C:$C,TRIM(Table_Query_from_Venus2[[#This Row],[serial_id]]),Measurements!$D:$D,"432")</f>
        <v>0</v>
      </c>
      <c r="S10" s="7">
        <f>_xlfn.MAXIFS(Measurements!$H:$H,Measurements!$C:$C,TRIM(Table_Query_from_Venus2[[#This Row],[serial_id]]),Measurements!$D:$D,"534")</f>
        <v>0</v>
      </c>
    </row>
    <row r="11" spans="1:19" ht="16.5" x14ac:dyDescent="0.3">
      <c r="A11" s="33">
        <v>196964</v>
      </c>
      <c r="C11" s="1">
        <f>SUMIFS(Measurements!$E:$E,Measurements!$B:$B,Table_Query_from_Venus2[[#This Row],[serial_id]],Measurements!D:D,119,Measurements!H:H,'Removal Sheet'!Q11)</f>
        <v>0</v>
      </c>
      <c r="D11">
        <f>SUMIFS(Measurements!$E:$E,Measurements!$B:$B,Table_Query_from_Venus2[[#This Row],[serial_id]],Measurements!$D:$D,"432",Measurements!$H:$H,'Removal Sheet'!R11)</f>
        <v>0</v>
      </c>
      <c r="E11" s="4" t="e">
        <f t="shared" si="7"/>
        <v>#NUM!</v>
      </c>
      <c r="F11" s="4" t="e">
        <f t="shared" si="0"/>
        <v>#NUM!</v>
      </c>
      <c r="G11" s="4"/>
      <c r="H11" s="1">
        <f t="shared" si="1"/>
        <v>0</v>
      </c>
      <c r="I11" s="1">
        <f t="shared" si="2"/>
        <v>-4.1470000000000002</v>
      </c>
      <c r="J11" s="30">
        <v>4.1470000000000002</v>
      </c>
      <c r="K11" s="4" t="e">
        <f t="shared" si="3"/>
        <v>#NUM!</v>
      </c>
      <c r="L11" s="5">
        <f>SUMIFS(Measurements!$E:$E,Measurements!$B:$B,Table_Query_from_Venus2[[#This Row],[serial_id]],Measurements!$D:$D,"534",Measurements!$H:$H,'Removal Sheet'!S11)/100</f>
        <v>0</v>
      </c>
      <c r="M11" t="e">
        <f t="shared" si="4"/>
        <v>#NUM!</v>
      </c>
      <c r="N11" s="2" t="e">
        <f t="shared" si="5"/>
        <v>#NUM!</v>
      </c>
      <c r="O11" s="4" t="e">
        <f t="shared" si="6"/>
        <v>#NUM!</v>
      </c>
      <c r="P11" s="4" t="e">
        <f>0.9055*(-LOG10(Main!$H$2/100)/'Removal Sheet'!$N11)</f>
        <v>#NUM!</v>
      </c>
      <c r="Q11" s="7">
        <f>_xlfn.MAXIFS(Measurements!H:H,Measurements!C:C,TRIM(Table_Query_from_Venus2[[#This Row],[serial_id]]),Measurements!D:D,"119")</f>
        <v>0</v>
      </c>
      <c r="R11" s="7">
        <f>_xlfn.MAXIFS(Measurements!$H:$H,Measurements!$C:$C,TRIM(Table_Query_from_Venus2[[#This Row],[serial_id]]),Measurements!$D:$D,"432")</f>
        <v>0</v>
      </c>
      <c r="S11" s="7">
        <f>_xlfn.MAXIFS(Measurements!$H:$H,Measurements!$C:$C,TRIM(Table_Query_from_Venus2[[#This Row],[serial_id]]),Measurements!$D:$D,"534")</f>
        <v>0</v>
      </c>
    </row>
    <row r="12" spans="1:19" ht="16.5" x14ac:dyDescent="0.3">
      <c r="A12" s="32">
        <v>196922</v>
      </c>
      <c r="C12" s="1">
        <f>SUMIFS(Measurements!$E:$E,Measurements!$B:$B,Table_Query_from_Venus2[[#This Row],[serial_id]],Measurements!D:D,119,Measurements!H:H,'Removal Sheet'!Q12)</f>
        <v>0</v>
      </c>
      <c r="D12">
        <f>SUMIFS(Measurements!$E:$E,Measurements!$B:$B,Table_Query_from_Venus2[[#This Row],[serial_id]],Measurements!$D:$D,"432",Measurements!$H:$H,'Removal Sheet'!R12)</f>
        <v>0</v>
      </c>
      <c r="E12" s="4" t="e">
        <f t="shared" si="7"/>
        <v>#NUM!</v>
      </c>
      <c r="F12" s="4" t="e">
        <f t="shared" si="0"/>
        <v>#NUM!</v>
      </c>
      <c r="G12" s="4"/>
      <c r="H12" s="1">
        <f t="shared" si="1"/>
        <v>0</v>
      </c>
      <c r="I12" s="1">
        <f t="shared" si="2"/>
        <v>-4.1470000000000002</v>
      </c>
      <c r="J12" s="30">
        <v>4.1470000000000002</v>
      </c>
      <c r="K12" s="4" t="e">
        <f t="shared" si="3"/>
        <v>#NUM!</v>
      </c>
      <c r="L12" s="5">
        <f>SUMIFS(Measurements!$E:$E,Measurements!$B:$B,Table_Query_from_Venus2[[#This Row],[serial_id]],Measurements!$D:$D,"534",Measurements!$H:$H,'Removal Sheet'!S12)/100</f>
        <v>0</v>
      </c>
      <c r="M12" t="e">
        <f t="shared" si="4"/>
        <v>#NUM!</v>
      </c>
      <c r="N12" s="2" t="e">
        <f t="shared" si="5"/>
        <v>#NUM!</v>
      </c>
      <c r="O12" s="4" t="e">
        <f t="shared" si="6"/>
        <v>#NUM!</v>
      </c>
      <c r="P12" s="4" t="e">
        <f>0.9055*(-LOG10(Main!$H$2/100)/'Removal Sheet'!$N12)</f>
        <v>#NUM!</v>
      </c>
      <c r="Q12" s="7">
        <f>_xlfn.MAXIFS(Measurements!H:H,Measurements!C:C,TRIM(Table_Query_from_Venus2[[#This Row],[serial_id]]),Measurements!D:D,"119")</f>
        <v>0</v>
      </c>
      <c r="R12" s="7">
        <f>_xlfn.MAXIFS(Measurements!$H:$H,Measurements!$C:$C,TRIM(Table_Query_from_Venus2[[#This Row],[serial_id]]),Measurements!$D:$D,"432")</f>
        <v>0</v>
      </c>
      <c r="S12" s="7">
        <f>_xlfn.MAXIFS(Measurements!$H:$H,Measurements!$C:$C,TRIM(Table_Query_from_Venus2[[#This Row],[serial_id]]),Measurements!$D:$D,"534")</f>
        <v>0</v>
      </c>
    </row>
    <row r="13" spans="1:19" ht="16.5" x14ac:dyDescent="0.3">
      <c r="A13" s="33">
        <v>196922</v>
      </c>
      <c r="C13" s="1">
        <f>SUMIFS(Measurements!$E:$E,Measurements!$B:$B,Table_Query_from_Venus2[[#This Row],[serial_id]],Measurements!D:D,119,Measurements!H:H,'Removal Sheet'!Q13)</f>
        <v>0</v>
      </c>
      <c r="D13">
        <f>SUMIFS(Measurements!$E:$E,Measurements!$B:$B,Table_Query_from_Venus2[[#This Row],[serial_id]],Measurements!$D:$D,"432",Measurements!$H:$H,'Removal Sheet'!R13)</f>
        <v>0</v>
      </c>
      <c r="E13" s="4" t="e">
        <f t="shared" si="7"/>
        <v>#NUM!</v>
      </c>
      <c r="F13" s="4" t="e">
        <f t="shared" si="0"/>
        <v>#NUM!</v>
      </c>
      <c r="G13" s="4"/>
      <c r="H13" s="1">
        <f t="shared" si="1"/>
        <v>0</v>
      </c>
      <c r="I13" s="1">
        <f t="shared" si="2"/>
        <v>-4.1470000000000002</v>
      </c>
      <c r="J13" s="30">
        <v>4.1470000000000002</v>
      </c>
      <c r="K13" s="4" t="e">
        <f t="shared" si="3"/>
        <v>#NUM!</v>
      </c>
      <c r="L13" s="5">
        <f>SUMIFS(Measurements!$E:$E,Measurements!$B:$B,Table_Query_from_Venus2[[#This Row],[serial_id]],Measurements!$D:$D,"534",Measurements!$H:$H,'Removal Sheet'!S13)/100</f>
        <v>0</v>
      </c>
      <c r="M13" t="e">
        <f t="shared" si="4"/>
        <v>#NUM!</v>
      </c>
      <c r="N13" s="2" t="e">
        <f t="shared" si="5"/>
        <v>#NUM!</v>
      </c>
      <c r="O13" s="4" t="e">
        <f t="shared" si="6"/>
        <v>#NUM!</v>
      </c>
      <c r="P13" s="4" t="e">
        <f>0.9055*(-LOG10(Main!$H$2/100)/'Removal Sheet'!$N13)</f>
        <v>#NUM!</v>
      </c>
      <c r="Q13" s="7">
        <f>_xlfn.MAXIFS(Measurements!H:H,Measurements!C:C,TRIM(Table_Query_from_Venus2[[#This Row],[serial_id]]),Measurements!D:D,"119")</f>
        <v>0</v>
      </c>
      <c r="R13" s="7">
        <f>_xlfn.MAXIFS(Measurements!$H:$H,Measurements!$C:$C,TRIM(Table_Query_from_Venus2[[#This Row],[serial_id]]),Measurements!$D:$D,"432")</f>
        <v>0</v>
      </c>
      <c r="S13" s="7">
        <f>_xlfn.MAXIFS(Measurements!$H:$H,Measurements!$C:$C,TRIM(Table_Query_from_Venus2[[#This Row],[serial_id]]),Measurements!$D:$D,"534")</f>
        <v>0</v>
      </c>
    </row>
    <row r="14" spans="1:19" ht="16.5" x14ac:dyDescent="0.3">
      <c r="A14" s="32">
        <v>196922</v>
      </c>
      <c r="C14" s="1">
        <f>SUMIFS(Measurements!$E:$E,Measurements!$B:$B,Table_Query_from_Venus2[[#This Row],[serial_id]],Measurements!D:D,119,Measurements!H:H,'Removal Sheet'!Q14)</f>
        <v>0</v>
      </c>
      <c r="D14">
        <f>SUMIFS(Measurements!$E:$E,Measurements!$B:$B,Table_Query_from_Venus2[[#This Row],[serial_id]],Measurements!$D:$D,"432",Measurements!$H:$H,'Removal Sheet'!R14)</f>
        <v>0</v>
      </c>
      <c r="E14" s="4" t="e">
        <f t="shared" si="7"/>
        <v>#NUM!</v>
      </c>
      <c r="F14" s="4" t="e">
        <f t="shared" si="0"/>
        <v>#NUM!</v>
      </c>
      <c r="G14" s="4"/>
      <c r="H14" s="1">
        <f t="shared" si="1"/>
        <v>0</v>
      </c>
      <c r="I14" s="1">
        <f t="shared" si="2"/>
        <v>-4.1470000000000002</v>
      </c>
      <c r="J14" s="30">
        <v>4.1470000000000002</v>
      </c>
      <c r="K14" s="4" t="e">
        <f t="shared" si="3"/>
        <v>#NUM!</v>
      </c>
      <c r="L14" s="5">
        <f>SUMIFS(Measurements!$E:$E,Measurements!$B:$B,Table_Query_from_Venus2[[#This Row],[serial_id]],Measurements!$D:$D,"534",Measurements!$H:$H,'Removal Sheet'!S14)/100</f>
        <v>0</v>
      </c>
      <c r="M14" t="e">
        <f t="shared" si="4"/>
        <v>#NUM!</v>
      </c>
      <c r="N14" s="2" t="e">
        <f t="shared" si="5"/>
        <v>#NUM!</v>
      </c>
      <c r="O14" s="4" t="e">
        <f t="shared" si="6"/>
        <v>#NUM!</v>
      </c>
      <c r="P14" s="4" t="e">
        <f>0.9055*(-LOG10(Main!$H$2/100)/'Removal Sheet'!$N14)</f>
        <v>#NUM!</v>
      </c>
      <c r="Q14" s="7">
        <f>_xlfn.MAXIFS(Measurements!H:H,Measurements!C:C,TRIM(Table_Query_from_Venus2[[#This Row],[serial_id]]),Measurements!D:D,"119")</f>
        <v>0</v>
      </c>
      <c r="R14" s="7">
        <f>_xlfn.MAXIFS(Measurements!$H:$H,Measurements!$C:$C,TRIM(Table_Query_from_Venus2[[#This Row],[serial_id]]),Measurements!$D:$D,"432")</f>
        <v>0</v>
      </c>
      <c r="S14" s="7">
        <f>_xlfn.MAXIFS(Measurements!$H:$H,Measurements!$C:$C,TRIM(Table_Query_from_Venus2[[#This Row],[serial_id]]),Measurements!$D:$D,"534")</f>
        <v>0</v>
      </c>
    </row>
    <row r="15" spans="1:19" ht="16.5" x14ac:dyDescent="0.3">
      <c r="A15" s="33">
        <v>196922</v>
      </c>
      <c r="C15" s="1">
        <f>SUMIFS(Measurements!$E:$E,Measurements!$B:$B,Table_Query_from_Venus2[[#This Row],[serial_id]],Measurements!D:D,119,Measurements!H:H,'Removal Sheet'!Q15)</f>
        <v>0</v>
      </c>
      <c r="D15">
        <f>SUMIFS(Measurements!$E:$E,Measurements!$B:$B,Table_Query_from_Venus2[[#This Row],[serial_id]],Measurements!$D:$D,"432",Measurements!$H:$H,'Removal Sheet'!R15)</f>
        <v>0</v>
      </c>
      <c r="E15" s="4" t="e">
        <f t="shared" si="7"/>
        <v>#NUM!</v>
      </c>
      <c r="F15" s="4" t="e">
        <f t="shared" si="0"/>
        <v>#NUM!</v>
      </c>
      <c r="G15" s="4"/>
      <c r="H15" s="1">
        <f t="shared" si="1"/>
        <v>0</v>
      </c>
      <c r="I15" s="1">
        <f t="shared" si="2"/>
        <v>-4.1470000000000002</v>
      </c>
      <c r="J15" s="30">
        <v>4.1470000000000002</v>
      </c>
      <c r="K15" s="4" t="e">
        <f t="shared" si="3"/>
        <v>#NUM!</v>
      </c>
      <c r="L15" s="5">
        <f>SUMIFS(Measurements!$E:$E,Measurements!$B:$B,Table_Query_from_Venus2[[#This Row],[serial_id]],Measurements!$D:$D,"534",Measurements!$H:$H,'Removal Sheet'!S15)/100</f>
        <v>0</v>
      </c>
      <c r="M15" t="e">
        <f t="shared" si="4"/>
        <v>#NUM!</v>
      </c>
      <c r="N15" s="2" t="e">
        <f t="shared" si="5"/>
        <v>#NUM!</v>
      </c>
      <c r="O15" s="4" t="e">
        <f t="shared" si="6"/>
        <v>#NUM!</v>
      </c>
      <c r="P15" s="4" t="e">
        <f>0.9055*(-LOG10(Main!$H$2/100)/'Removal Sheet'!$N15)</f>
        <v>#NUM!</v>
      </c>
      <c r="Q15" s="7">
        <f>_xlfn.MAXIFS(Measurements!H:H,Measurements!C:C,TRIM(Table_Query_from_Venus2[[#This Row],[serial_id]]),Measurements!D:D,"119")</f>
        <v>0</v>
      </c>
      <c r="R15" s="7">
        <f>_xlfn.MAXIFS(Measurements!$H:$H,Measurements!$C:$C,TRIM(Table_Query_from_Venus2[[#This Row],[serial_id]]),Measurements!$D:$D,"432")</f>
        <v>0</v>
      </c>
      <c r="S15" s="7">
        <f>_xlfn.MAXIFS(Measurements!$H:$H,Measurements!$C:$C,TRIM(Table_Query_from_Venus2[[#This Row],[serial_id]]),Measurements!$D:$D,"534")</f>
        <v>0</v>
      </c>
    </row>
    <row r="16" spans="1:19" ht="16.5" x14ac:dyDescent="0.3">
      <c r="A16" s="32">
        <v>196922</v>
      </c>
      <c r="C16" s="1">
        <f>SUMIFS(Measurements!$E:$E,Measurements!$B:$B,Table_Query_from_Venus2[[#This Row],[serial_id]],Measurements!D:D,119,Measurements!H:H,'Removal Sheet'!Q16)</f>
        <v>0</v>
      </c>
      <c r="D16">
        <f>SUMIFS(Measurements!$E:$E,Measurements!$B:$B,Table_Query_from_Venus2[[#This Row],[serial_id]],Measurements!$D:$D,"432",Measurements!$H:$H,'Removal Sheet'!R16)</f>
        <v>0</v>
      </c>
      <c r="E16" s="4" t="e">
        <f t="shared" si="7"/>
        <v>#NUM!</v>
      </c>
      <c r="F16" s="4" t="e">
        <f t="shared" si="0"/>
        <v>#NUM!</v>
      </c>
      <c r="G16" s="4"/>
      <c r="H16" s="1">
        <f t="shared" si="1"/>
        <v>0</v>
      </c>
      <c r="I16" s="1">
        <f t="shared" si="2"/>
        <v>-4.1470000000000002</v>
      </c>
      <c r="J16" s="30">
        <v>4.1470000000000002</v>
      </c>
      <c r="K16" s="4" t="e">
        <f t="shared" si="3"/>
        <v>#NUM!</v>
      </c>
      <c r="L16" s="5">
        <f>SUMIFS(Measurements!$E:$E,Measurements!$B:$B,Table_Query_from_Venus2[[#This Row],[serial_id]],Measurements!$D:$D,"534",Measurements!$H:$H,'Removal Sheet'!S16)/100</f>
        <v>0</v>
      </c>
      <c r="M16" t="e">
        <f t="shared" si="4"/>
        <v>#NUM!</v>
      </c>
      <c r="N16" s="2" t="e">
        <f t="shared" si="5"/>
        <v>#NUM!</v>
      </c>
      <c r="O16" s="4" t="e">
        <f t="shared" si="6"/>
        <v>#NUM!</v>
      </c>
      <c r="P16" s="4" t="e">
        <f>0.9055*(-LOG10(Main!$H$2/100)/'Removal Sheet'!$N16)</f>
        <v>#NUM!</v>
      </c>
      <c r="Q16" s="7">
        <f>_xlfn.MAXIFS(Measurements!H:H,Measurements!C:C,TRIM(Table_Query_from_Venus2[[#This Row],[serial_id]]),Measurements!D:D,"119")</f>
        <v>0</v>
      </c>
      <c r="R16" s="7">
        <f>_xlfn.MAXIFS(Measurements!$H:$H,Measurements!$C:$C,TRIM(Table_Query_from_Venus2[[#This Row],[serial_id]]),Measurements!$D:$D,"432")</f>
        <v>0</v>
      </c>
      <c r="S16" s="7">
        <f>_xlfn.MAXIFS(Measurements!$H:$H,Measurements!$C:$C,TRIM(Table_Query_from_Venus2[[#This Row],[serial_id]]),Measurements!$D:$D,"534")</f>
        <v>0</v>
      </c>
    </row>
    <row r="17" spans="1:19" ht="16.5" x14ac:dyDescent="0.3">
      <c r="A17" s="33">
        <v>196922</v>
      </c>
      <c r="C17" s="1">
        <f>SUMIFS(Measurements!$E:$E,Measurements!$B:$B,Table_Query_from_Venus2[[#This Row],[serial_id]],Measurements!D:D,119,Measurements!H:H,'Removal Sheet'!Q17)</f>
        <v>0</v>
      </c>
      <c r="D17">
        <f>SUMIFS(Measurements!$E:$E,Measurements!$B:$B,Table_Query_from_Venus2[[#This Row],[serial_id]],Measurements!$D:$D,"432",Measurements!$H:$H,'Removal Sheet'!R17)</f>
        <v>0</v>
      </c>
      <c r="E17" s="4" t="e">
        <f t="shared" si="7"/>
        <v>#NUM!</v>
      </c>
      <c r="F17" s="4" t="e">
        <f t="shared" si="0"/>
        <v>#NUM!</v>
      </c>
      <c r="G17" s="4"/>
      <c r="H17" s="1">
        <f t="shared" si="1"/>
        <v>0</v>
      </c>
      <c r="I17" s="1">
        <f t="shared" si="2"/>
        <v>-4.1470000000000002</v>
      </c>
      <c r="J17" s="30">
        <v>4.1470000000000002</v>
      </c>
      <c r="K17" s="4" t="e">
        <f t="shared" si="3"/>
        <v>#NUM!</v>
      </c>
      <c r="L17" s="5">
        <f>SUMIFS(Measurements!$E:$E,Measurements!$B:$B,Table_Query_from_Venus2[[#This Row],[serial_id]],Measurements!$D:$D,"534",Measurements!$H:$H,'Removal Sheet'!S17)/100</f>
        <v>0</v>
      </c>
      <c r="M17" t="e">
        <f t="shared" si="4"/>
        <v>#NUM!</v>
      </c>
      <c r="N17" s="2" t="e">
        <f t="shared" si="5"/>
        <v>#NUM!</v>
      </c>
      <c r="O17" s="4" t="e">
        <f t="shared" si="6"/>
        <v>#NUM!</v>
      </c>
      <c r="P17" s="4" t="e">
        <f>0.9055*(-LOG10(Main!$H$2/100)/'Removal Sheet'!$N17)</f>
        <v>#NUM!</v>
      </c>
      <c r="Q17" s="7">
        <f>_xlfn.MAXIFS(Measurements!H:H,Measurements!C:C,TRIM(Table_Query_from_Venus2[[#This Row],[serial_id]]),Measurements!D:D,"119")</f>
        <v>0</v>
      </c>
      <c r="R17" s="7">
        <f>_xlfn.MAXIFS(Measurements!$H:$H,Measurements!$C:$C,TRIM(Table_Query_from_Venus2[[#This Row],[serial_id]]),Measurements!$D:$D,"432")</f>
        <v>0</v>
      </c>
      <c r="S17" s="7">
        <f>_xlfn.MAXIFS(Measurements!$H:$H,Measurements!$C:$C,TRIM(Table_Query_from_Venus2[[#This Row],[serial_id]]),Measurements!$D:$D,"534")</f>
        <v>0</v>
      </c>
    </row>
    <row r="18" spans="1:19" ht="16.5" x14ac:dyDescent="0.3">
      <c r="A18" s="32">
        <v>196922</v>
      </c>
      <c r="C18" s="1">
        <f>SUMIFS(Measurements!$E:$E,Measurements!$B:$B,Table_Query_from_Venus2[[#This Row],[serial_id]],Measurements!D:D,119,Measurements!H:H,'Removal Sheet'!Q18)</f>
        <v>0</v>
      </c>
      <c r="D18">
        <f>SUMIFS(Measurements!$E:$E,Measurements!$B:$B,Table_Query_from_Venus2[[#This Row],[serial_id]],Measurements!$D:$D,"432",Measurements!$H:$H,'Removal Sheet'!R18)</f>
        <v>0</v>
      </c>
      <c r="E18" s="4" t="e">
        <f t="shared" si="7"/>
        <v>#NUM!</v>
      </c>
      <c r="F18" s="4" t="e">
        <f t="shared" ref="F18" si="15">C18-E18</f>
        <v>#NUM!</v>
      </c>
      <c r="G18" s="4"/>
      <c r="H18" s="1">
        <f t="shared" si="1"/>
        <v>0</v>
      </c>
      <c r="I18" s="1">
        <f t="shared" si="2"/>
        <v>-4.1470000000000002</v>
      </c>
      <c r="J18" s="30">
        <v>4.1470000000000002</v>
      </c>
      <c r="K18" s="4" t="e">
        <f t="shared" si="3"/>
        <v>#NUM!</v>
      </c>
      <c r="L18" s="5">
        <f>SUMIFS(Measurements!$E:$E,Measurements!$B:$B,Table_Query_from_Venus2[[#This Row],[serial_id]],Measurements!$D:$D,"534",Measurements!$H:$H,'Removal Sheet'!S18)/100</f>
        <v>0</v>
      </c>
      <c r="M18" t="e">
        <f t="shared" si="4"/>
        <v>#NUM!</v>
      </c>
      <c r="N18" s="2" t="e">
        <f t="shared" si="5"/>
        <v>#NUM!</v>
      </c>
      <c r="O18" s="4" t="e">
        <f t="shared" si="6"/>
        <v>#NUM!</v>
      </c>
      <c r="P18" s="4" t="e">
        <f>0.9055*(-LOG10(Main!$H$2/100)/'Removal Sheet'!$N18)</f>
        <v>#NUM!</v>
      </c>
      <c r="Q18" s="7">
        <f>_xlfn.MAXIFS(Measurements!H:H,Measurements!C:C,TRIM(Table_Query_from_Venus2[[#This Row],[serial_id]]),Measurements!D:D,"119")</f>
        <v>0</v>
      </c>
      <c r="R18" s="7">
        <f>_xlfn.MAXIFS(Measurements!$H:$H,Measurements!$C:$C,TRIM(Table_Query_from_Venus2[[#This Row],[serial_id]]),Measurements!$D:$D,"432")</f>
        <v>0</v>
      </c>
      <c r="S18" s="7">
        <f>_xlfn.MAXIFS(Measurements!$H:$H,Measurements!$C:$C,TRIM(Table_Query_from_Venus2[[#This Row],[serial_id]]),Measurements!$D:$D,"534")</f>
        <v>0</v>
      </c>
    </row>
    <row r="19" spans="1:19" ht="16.5" x14ac:dyDescent="0.3">
      <c r="A19" s="33">
        <v>196922</v>
      </c>
      <c r="C19" s="1">
        <f>SUMIFS(Measurements!$E:$E,Measurements!$B:$B,Table_Query_from_Venus2[[#This Row],[serial_id]],Measurements!D:D,119,Measurements!H:H,'Removal Sheet'!Q19)</f>
        <v>0</v>
      </c>
      <c r="D19">
        <f>SUMIFS(Measurements!$E:$E,Measurements!$B:$B,Table_Query_from_Venus2[[#This Row],[serial_id]],Measurements!$D:$D,"432",Measurements!$H:$H,'Removal Sheet'!R19)</f>
        <v>0</v>
      </c>
      <c r="E19" s="4" t="e">
        <f t="shared" si="7"/>
        <v>#NUM!</v>
      </c>
      <c r="F19" s="4" t="e">
        <f t="shared" ref="F19" si="16">C19-E19</f>
        <v>#NUM!</v>
      </c>
      <c r="G19" s="4"/>
      <c r="H19" s="1">
        <f t="shared" ref="H19" si="17">C19-D19</f>
        <v>0</v>
      </c>
      <c r="I19" s="1">
        <f t="shared" ref="I19" si="18">H19-J19</f>
        <v>-4.1470000000000002</v>
      </c>
      <c r="J19" s="30">
        <v>4.1470000000000002</v>
      </c>
      <c r="K19" s="4" t="e">
        <f t="shared" ref="K19" si="19">C19-E19-I19</f>
        <v>#NUM!</v>
      </c>
      <c r="L19" s="5">
        <f>SUMIFS(Measurements!$E:$E,Measurements!$B:$B,Table_Query_from_Venus2[[#This Row],[serial_id]],Measurements!$D:$D,"534",Measurements!$H:$H,'Removal Sheet'!S19)/100</f>
        <v>0</v>
      </c>
      <c r="M19" t="e">
        <f t="shared" ref="M19" si="20">-LOG10(L19)</f>
        <v>#NUM!</v>
      </c>
      <c r="N19" s="2" t="e">
        <f t="shared" ref="N19" si="21">0.9055*M19/D19</f>
        <v>#NUM!</v>
      </c>
      <c r="O19" s="4" t="e">
        <f t="shared" ref="O19" si="22">D19-P19</f>
        <v>#NUM!</v>
      </c>
      <c r="P19" s="4" t="e">
        <f>0.9055*(-LOG10(Main!$H$2/100)/'Removal Sheet'!$N19)</f>
        <v>#NUM!</v>
      </c>
      <c r="Q19" s="7">
        <f>_xlfn.MAXIFS(Measurements!H:H,Measurements!C:C,TRIM(Table_Query_from_Venus2[[#This Row],[serial_id]]),Measurements!D:D,"119")</f>
        <v>0</v>
      </c>
      <c r="R19" s="7">
        <f>_xlfn.MAXIFS(Measurements!$H:$H,Measurements!$C:$C,TRIM(Table_Query_from_Venus2[[#This Row],[serial_id]]),Measurements!$D:$D,"432")</f>
        <v>0</v>
      </c>
      <c r="S19" s="7">
        <f>_xlfn.MAXIFS(Measurements!$H:$H,Measurements!$C:$C,TRIM(Table_Query_from_Venus2[[#This Row],[serial_id]]),Measurements!$D:$D,"534")</f>
        <v>0</v>
      </c>
    </row>
    <row r="20" spans="1:19" ht="16.5" x14ac:dyDescent="0.3">
      <c r="A20" s="32">
        <v>196922</v>
      </c>
      <c r="C20" s="1">
        <f>SUMIFS(Measurements!$E:$E,Measurements!$B:$B,Table_Query_from_Venus2[[#This Row],[serial_id]],Measurements!D:D,119,Measurements!H:H,'Removal Sheet'!Q20)</f>
        <v>0</v>
      </c>
      <c r="D20">
        <f>SUMIFS(Measurements!$E:$E,Measurements!$B:$B,Table_Query_from_Venus2[[#This Row],[serial_id]],Measurements!$D:$D,"432",Measurements!$H:$H,'Removal Sheet'!R20)</f>
        <v>0</v>
      </c>
      <c r="E20" s="4" t="e">
        <f t="shared" si="7"/>
        <v>#NUM!</v>
      </c>
      <c r="F20" s="4" t="e">
        <f t="shared" ref="F20:F34" si="23">C20-E20</f>
        <v>#NUM!</v>
      </c>
      <c r="G20" s="4"/>
      <c r="H20" s="1">
        <f t="shared" si="1"/>
        <v>0</v>
      </c>
      <c r="I20" s="1">
        <f t="shared" si="2"/>
        <v>-4.1470000000000002</v>
      </c>
      <c r="J20" s="30">
        <v>4.1470000000000002</v>
      </c>
      <c r="K20" s="4" t="e">
        <f t="shared" si="3"/>
        <v>#NUM!</v>
      </c>
      <c r="L20" s="5">
        <f>SUMIFS(Measurements!$E:$E,Measurements!$B:$B,Table_Query_from_Venus2[[#This Row],[serial_id]],Measurements!$D:$D,"534",Measurements!$H:$H,'Removal Sheet'!S20)/100</f>
        <v>0</v>
      </c>
      <c r="M20" t="e">
        <f t="shared" si="4"/>
        <v>#NUM!</v>
      </c>
      <c r="N20" s="2" t="e">
        <f t="shared" si="5"/>
        <v>#NUM!</v>
      </c>
      <c r="O20" s="4" t="e">
        <f t="shared" si="6"/>
        <v>#NUM!</v>
      </c>
      <c r="P20" s="4" t="e">
        <f>0.9055*(-LOG10(Main!$H$2/100)/'Removal Sheet'!$N20)</f>
        <v>#NUM!</v>
      </c>
      <c r="Q20" s="7">
        <f>_xlfn.MAXIFS(Measurements!H:H,Measurements!C:C,TRIM(Table_Query_from_Venus2[[#This Row],[serial_id]]),Measurements!D:D,"119")</f>
        <v>0</v>
      </c>
      <c r="R20" s="7">
        <f>_xlfn.MAXIFS(Measurements!$H:$H,Measurements!$C:$C,TRIM(Table_Query_from_Venus2[[#This Row],[serial_id]]),Measurements!$D:$D,"432")</f>
        <v>0</v>
      </c>
      <c r="S20" s="7">
        <f>_xlfn.MAXIFS(Measurements!$H:$H,Measurements!$C:$C,TRIM(Table_Query_from_Venus2[[#This Row],[serial_id]]),Measurements!$D:$D,"534")</f>
        <v>0</v>
      </c>
    </row>
    <row r="21" spans="1:19" ht="16.5" x14ac:dyDescent="0.3">
      <c r="A21" s="33">
        <v>196922</v>
      </c>
      <c r="C21" s="1">
        <f>SUMIFS(Measurements!$E:$E,Measurements!$B:$B,Table_Query_from_Venus2[[#This Row],[serial_id]],Measurements!D:D,119,Measurements!H:H,'Removal Sheet'!Q21)</f>
        <v>0</v>
      </c>
      <c r="D21">
        <f>SUMIFS(Measurements!$E:$E,Measurements!$B:$B,Table_Query_from_Venus2[[#This Row],[serial_id]],Measurements!$D:$D,"432",Measurements!$H:$H,'Removal Sheet'!R21)</f>
        <v>0</v>
      </c>
      <c r="E21" s="4" t="e">
        <f t="shared" si="7"/>
        <v>#NUM!</v>
      </c>
      <c r="F21" s="4" t="e">
        <f t="shared" si="23"/>
        <v>#NUM!</v>
      </c>
      <c r="G21" s="4"/>
      <c r="H21" s="1">
        <f t="shared" si="1"/>
        <v>0</v>
      </c>
      <c r="I21" s="1">
        <f t="shared" si="2"/>
        <v>-4.1470000000000002</v>
      </c>
      <c r="J21" s="30">
        <v>4.1470000000000002</v>
      </c>
      <c r="K21" s="4" t="e">
        <f t="shared" si="3"/>
        <v>#NUM!</v>
      </c>
      <c r="L21" s="5">
        <f>SUMIFS(Measurements!$E:$E,Measurements!$B:$B,Table_Query_from_Venus2[[#This Row],[serial_id]],Measurements!$D:$D,"534",Measurements!$H:$H,'Removal Sheet'!S21)/100</f>
        <v>0</v>
      </c>
      <c r="M21" t="e">
        <f t="shared" si="4"/>
        <v>#NUM!</v>
      </c>
      <c r="N21" s="2" t="e">
        <f t="shared" si="5"/>
        <v>#NUM!</v>
      </c>
      <c r="O21" s="4" t="e">
        <f t="shared" si="6"/>
        <v>#NUM!</v>
      </c>
      <c r="P21" s="4" t="e">
        <f>0.9055*(-LOG10(Main!$H$2/100)/'Removal Sheet'!$N21)</f>
        <v>#NUM!</v>
      </c>
      <c r="Q21" s="7">
        <f>_xlfn.MAXIFS(Measurements!H:H,Measurements!C:C,TRIM(Table_Query_from_Venus2[[#This Row],[serial_id]]),Measurements!D:D,"119")</f>
        <v>0</v>
      </c>
      <c r="R21" s="7">
        <f>_xlfn.MAXIFS(Measurements!$H:$H,Measurements!$C:$C,TRIM(Table_Query_from_Venus2[[#This Row],[serial_id]]),Measurements!$D:$D,"432")</f>
        <v>0</v>
      </c>
      <c r="S21" s="7">
        <f>_xlfn.MAXIFS(Measurements!$H:$H,Measurements!$C:$C,TRIM(Table_Query_from_Venus2[[#This Row],[serial_id]]),Measurements!$D:$D,"534")</f>
        <v>0</v>
      </c>
    </row>
    <row r="22" spans="1:19" ht="16.5" x14ac:dyDescent="0.3">
      <c r="A22" s="32">
        <v>196922</v>
      </c>
      <c r="C22" s="1">
        <f>SUMIFS(Measurements!$E:$E,Measurements!$B:$B,Table_Query_from_Venus2[[#This Row],[serial_id]],Measurements!D:D,119,Measurements!H:H,'Removal Sheet'!Q22)</f>
        <v>0</v>
      </c>
      <c r="D22">
        <f>SUMIFS(Measurements!$E:$E,Measurements!$B:$B,Table_Query_from_Venus2[[#This Row],[serial_id]],Measurements!$D:$D,"432",Measurements!$H:$H,'Removal Sheet'!R22)</f>
        <v>0</v>
      </c>
      <c r="E22" s="4" t="e">
        <f t="shared" si="7"/>
        <v>#NUM!</v>
      </c>
      <c r="F22" s="4" t="e">
        <f t="shared" si="23"/>
        <v>#NUM!</v>
      </c>
      <c r="G22" s="4"/>
      <c r="H22" s="1">
        <f t="shared" si="1"/>
        <v>0</v>
      </c>
      <c r="I22" s="1">
        <f t="shared" si="2"/>
        <v>-4.1470000000000002</v>
      </c>
      <c r="J22" s="30">
        <v>4.1470000000000002</v>
      </c>
      <c r="K22" s="4" t="e">
        <f t="shared" si="3"/>
        <v>#NUM!</v>
      </c>
      <c r="L22" s="5">
        <f>SUMIFS(Measurements!$E:$E,Measurements!$B:$B,Table_Query_from_Venus2[[#This Row],[serial_id]],Measurements!$D:$D,"534",Measurements!$H:$H,'Removal Sheet'!S22)/100</f>
        <v>0</v>
      </c>
      <c r="M22" t="e">
        <f t="shared" si="4"/>
        <v>#NUM!</v>
      </c>
      <c r="N22" s="2" t="e">
        <f t="shared" si="5"/>
        <v>#NUM!</v>
      </c>
      <c r="O22" s="4" t="e">
        <f t="shared" si="6"/>
        <v>#NUM!</v>
      </c>
      <c r="P22" s="4" t="e">
        <f>0.9055*(-LOG10(Main!$H$2/100)/'Removal Sheet'!$N22)</f>
        <v>#NUM!</v>
      </c>
      <c r="Q22" s="7">
        <f>_xlfn.MAXIFS(Measurements!H:H,Measurements!C:C,TRIM(Table_Query_from_Venus2[[#This Row],[serial_id]]),Measurements!D:D,"119")</f>
        <v>0</v>
      </c>
      <c r="R22" s="7">
        <f>_xlfn.MAXIFS(Measurements!$H:$H,Measurements!$C:$C,TRIM(Table_Query_from_Venus2[[#This Row],[serial_id]]),Measurements!$D:$D,"432")</f>
        <v>0</v>
      </c>
      <c r="S22" s="7">
        <f>_xlfn.MAXIFS(Measurements!$H:$H,Measurements!$C:$C,TRIM(Table_Query_from_Venus2[[#This Row],[serial_id]]),Measurements!$D:$D,"534")</f>
        <v>0</v>
      </c>
    </row>
    <row r="23" spans="1:19" ht="16.5" x14ac:dyDescent="0.3">
      <c r="A23" s="33">
        <v>196922</v>
      </c>
      <c r="C23" s="1">
        <f>SUMIFS(Measurements!$E:$E,Measurements!$B:$B,Table_Query_from_Venus2[[#This Row],[serial_id]],Measurements!D:D,119,Measurements!H:H,'Removal Sheet'!Q23)</f>
        <v>0</v>
      </c>
      <c r="D23">
        <f>SUMIFS(Measurements!$E:$E,Measurements!$B:$B,Table_Query_from_Venus2[[#This Row],[serial_id]],Measurements!$D:$D,"432",Measurements!$H:$H,'Removal Sheet'!R23)</f>
        <v>0</v>
      </c>
      <c r="E23" s="4" t="e">
        <f t="shared" si="7"/>
        <v>#NUM!</v>
      </c>
      <c r="F23" s="4" t="e">
        <f t="shared" si="23"/>
        <v>#NUM!</v>
      </c>
      <c r="G23" s="4"/>
      <c r="H23" s="1">
        <f t="shared" si="1"/>
        <v>0</v>
      </c>
      <c r="I23" s="1">
        <f t="shared" si="2"/>
        <v>-4.1470000000000002</v>
      </c>
      <c r="J23" s="30">
        <v>4.1470000000000002</v>
      </c>
      <c r="K23" s="4" t="e">
        <f t="shared" si="3"/>
        <v>#NUM!</v>
      </c>
      <c r="L23" s="5">
        <f>SUMIFS(Measurements!$E:$E,Measurements!$B:$B,Table_Query_from_Venus2[[#This Row],[serial_id]],Measurements!$D:$D,"534",Measurements!$H:$H,'Removal Sheet'!S23)/100</f>
        <v>0</v>
      </c>
      <c r="M23" t="e">
        <f t="shared" si="4"/>
        <v>#NUM!</v>
      </c>
      <c r="N23" s="2" t="e">
        <f t="shared" si="5"/>
        <v>#NUM!</v>
      </c>
      <c r="O23" s="4" t="e">
        <f t="shared" si="6"/>
        <v>#NUM!</v>
      </c>
      <c r="P23" s="4" t="e">
        <f>0.9055*(-LOG10(Main!$H$2/100)/'Removal Sheet'!$N23)</f>
        <v>#NUM!</v>
      </c>
      <c r="Q23" s="7">
        <f>_xlfn.MAXIFS(Measurements!H:H,Measurements!C:C,TRIM(Table_Query_from_Venus2[[#This Row],[serial_id]]),Measurements!D:D,"119")</f>
        <v>0</v>
      </c>
      <c r="R23" s="7">
        <f>_xlfn.MAXIFS(Measurements!$H:$H,Measurements!$C:$C,TRIM(Table_Query_from_Venus2[[#This Row],[serial_id]]),Measurements!$D:$D,"432")</f>
        <v>0</v>
      </c>
      <c r="S23" s="7">
        <f>_xlfn.MAXIFS(Measurements!$H:$H,Measurements!$C:$C,TRIM(Table_Query_from_Venus2[[#This Row],[serial_id]]),Measurements!$D:$D,"534")</f>
        <v>0</v>
      </c>
    </row>
    <row r="24" spans="1:19" ht="16.5" x14ac:dyDescent="0.3">
      <c r="A24" s="32">
        <v>196922</v>
      </c>
      <c r="C24" s="1">
        <f>SUMIFS(Measurements!$E:$E,Measurements!$B:$B,Table_Query_from_Venus2[[#This Row],[serial_id]],Measurements!D:D,119,Measurements!H:H,'Removal Sheet'!Q24)</f>
        <v>0</v>
      </c>
      <c r="D24">
        <f>SUMIFS(Measurements!$E:$E,Measurements!$B:$B,Table_Query_from_Venus2[[#This Row],[serial_id]],Measurements!$D:$D,"432",Measurements!$H:$H,'Removal Sheet'!R24)</f>
        <v>0</v>
      </c>
      <c r="E24" s="4" t="e">
        <f t="shared" si="7"/>
        <v>#NUM!</v>
      </c>
      <c r="F24" s="4" t="e">
        <f t="shared" si="23"/>
        <v>#NUM!</v>
      </c>
      <c r="G24" s="4"/>
      <c r="H24" s="1">
        <f t="shared" si="1"/>
        <v>0</v>
      </c>
      <c r="I24" s="1">
        <f t="shared" si="2"/>
        <v>-4.1470000000000002</v>
      </c>
      <c r="J24" s="30">
        <v>4.1470000000000002</v>
      </c>
      <c r="K24" s="4" t="e">
        <f t="shared" si="3"/>
        <v>#NUM!</v>
      </c>
      <c r="L24" s="5">
        <f>SUMIFS(Measurements!$E:$E,Measurements!$B:$B,Table_Query_from_Venus2[[#This Row],[serial_id]],Measurements!$D:$D,"534",Measurements!$H:$H,'Removal Sheet'!S24)/100</f>
        <v>0</v>
      </c>
      <c r="M24" t="e">
        <f t="shared" si="4"/>
        <v>#NUM!</v>
      </c>
      <c r="N24" s="2" t="e">
        <f t="shared" si="5"/>
        <v>#NUM!</v>
      </c>
      <c r="O24" s="4" t="e">
        <f t="shared" si="6"/>
        <v>#NUM!</v>
      </c>
      <c r="P24" s="4" t="e">
        <f>0.9055*(-LOG10(Main!$H$2/100)/'Removal Sheet'!$N24)</f>
        <v>#NUM!</v>
      </c>
      <c r="Q24" s="7">
        <f>_xlfn.MAXIFS(Measurements!H:H,Measurements!C:C,TRIM(Table_Query_from_Venus2[[#This Row],[serial_id]]),Measurements!D:D,"119")</f>
        <v>0</v>
      </c>
      <c r="R24" s="7">
        <f>_xlfn.MAXIFS(Measurements!$H:$H,Measurements!$C:$C,TRIM(Table_Query_from_Venus2[[#This Row],[serial_id]]),Measurements!$D:$D,"432")</f>
        <v>0</v>
      </c>
      <c r="S24" s="7">
        <f>_xlfn.MAXIFS(Measurements!$H:$H,Measurements!$C:$C,TRIM(Table_Query_from_Venus2[[#This Row],[serial_id]]),Measurements!$D:$D,"534")</f>
        <v>0</v>
      </c>
    </row>
    <row r="25" spans="1:19" x14ac:dyDescent="0.25">
      <c r="C25" s="1">
        <f>SUMIFS(Measurements!$E:$E,Measurements!$B:$B,Table_Query_from_Venus2[[#This Row],[serial_id]],Measurements!D:D,119,Measurements!H:H,'Removal Sheet'!Q25)</f>
        <v>0</v>
      </c>
      <c r="D25">
        <f>SUMIFS(Measurements!$E:$E,Measurements!$B:$B,Table_Query_from_Venus2[[#This Row],[serial_id]],Measurements!$D:$D,"432",Measurements!$H:$H,'Removal Sheet'!R25)</f>
        <v>0</v>
      </c>
      <c r="E25" s="4" t="e">
        <f t="shared" si="7"/>
        <v>#NUM!</v>
      </c>
      <c r="F25" s="4" t="e">
        <f t="shared" si="23"/>
        <v>#NUM!</v>
      </c>
      <c r="G25" s="4"/>
      <c r="H25" s="1">
        <f t="shared" si="1"/>
        <v>0</v>
      </c>
      <c r="I25" s="1">
        <f t="shared" si="2"/>
        <v>-4.1470000000000002</v>
      </c>
      <c r="J25" s="30">
        <v>4.1470000000000002</v>
      </c>
      <c r="K25" s="4" t="e">
        <f t="shared" si="3"/>
        <v>#NUM!</v>
      </c>
      <c r="L25" s="5">
        <f>SUMIFS(Measurements!$E:$E,Measurements!$B:$B,Table_Query_from_Venus2[[#This Row],[serial_id]],Measurements!$D:$D,"534",Measurements!$H:$H,'Removal Sheet'!S25)/100</f>
        <v>0</v>
      </c>
      <c r="M25" t="e">
        <f t="shared" si="4"/>
        <v>#NUM!</v>
      </c>
      <c r="N25" s="2" t="e">
        <f t="shared" si="5"/>
        <v>#NUM!</v>
      </c>
      <c r="O25" s="4" t="e">
        <f t="shared" si="6"/>
        <v>#NUM!</v>
      </c>
      <c r="P25" s="4" t="e">
        <f>0.9055*(-LOG10(Main!$H$2/100)/'Removal Sheet'!$N25)</f>
        <v>#NUM!</v>
      </c>
      <c r="Q25" s="7">
        <f>_xlfn.MAXIFS(Measurements!H:H,Measurements!C:C,TRIM(Table_Query_from_Venus2[[#This Row],[serial_id]]),Measurements!D:D,"119")</f>
        <v>0</v>
      </c>
      <c r="R25" s="7">
        <f>_xlfn.MAXIFS(Measurements!$H:$H,Measurements!$C:$C,TRIM(Table_Query_from_Venus2[[#This Row],[serial_id]]),Measurements!$D:$D,"432")</f>
        <v>0</v>
      </c>
      <c r="S25" s="7">
        <f>_xlfn.MAXIFS(Measurements!$H:$H,Measurements!$C:$C,TRIM(Table_Query_from_Venus2[[#This Row],[serial_id]]),Measurements!$D:$D,"534")</f>
        <v>0</v>
      </c>
    </row>
    <row r="26" spans="1:19" x14ac:dyDescent="0.25">
      <c r="C26" s="1">
        <f>SUMIFS(Measurements!$E:$E,Measurements!$B:$B,Table_Query_from_Venus2[[#This Row],[serial_id]],Measurements!D:D,119,Measurements!H:H,'Removal Sheet'!Q26)</f>
        <v>0</v>
      </c>
      <c r="D26">
        <f>SUMIFS(Measurements!$E:$E,Measurements!$B:$B,Table_Query_from_Venus2[[#This Row],[serial_id]],Measurements!$D:$D,"432",Measurements!$H:$H,'Removal Sheet'!R26)</f>
        <v>0</v>
      </c>
      <c r="E26" s="4" t="e">
        <f t="shared" si="7"/>
        <v>#NUM!</v>
      </c>
      <c r="F26" s="4" t="e">
        <f t="shared" si="23"/>
        <v>#NUM!</v>
      </c>
      <c r="G26" s="4"/>
      <c r="H26" s="1">
        <f t="shared" si="1"/>
        <v>0</v>
      </c>
      <c r="I26" s="1">
        <f t="shared" si="2"/>
        <v>-4.1470000000000002</v>
      </c>
      <c r="J26" s="30">
        <v>4.1470000000000002</v>
      </c>
      <c r="K26" s="4" t="e">
        <f t="shared" si="3"/>
        <v>#NUM!</v>
      </c>
      <c r="L26" s="5">
        <f>SUMIFS(Measurements!$E:$E,Measurements!$B:$B,Table_Query_from_Venus2[[#This Row],[serial_id]],Measurements!$D:$D,"534",Measurements!$H:$H,'Removal Sheet'!S26)/100</f>
        <v>0</v>
      </c>
      <c r="M26" t="e">
        <f t="shared" si="4"/>
        <v>#NUM!</v>
      </c>
      <c r="N26" s="2" t="e">
        <f t="shared" si="5"/>
        <v>#NUM!</v>
      </c>
      <c r="O26" s="4" t="e">
        <f t="shared" si="6"/>
        <v>#NUM!</v>
      </c>
      <c r="P26" s="4" t="e">
        <f>0.9055*(-LOG10(Main!$H$2/100)/'Removal Sheet'!$N26)</f>
        <v>#NUM!</v>
      </c>
      <c r="Q26" s="7">
        <f>_xlfn.MAXIFS(Measurements!H:H,Measurements!C:C,TRIM(Table_Query_from_Venus2[[#This Row],[serial_id]]),Measurements!D:D,"119")</f>
        <v>0</v>
      </c>
      <c r="R26" s="7">
        <f>_xlfn.MAXIFS(Measurements!$H:$H,Measurements!$C:$C,TRIM(Table_Query_from_Venus2[[#This Row],[serial_id]]),Measurements!$D:$D,"432")</f>
        <v>0</v>
      </c>
      <c r="S26" s="7">
        <f>_xlfn.MAXIFS(Measurements!$H:$H,Measurements!$C:$C,TRIM(Table_Query_from_Venus2[[#This Row],[serial_id]]),Measurements!$D:$D,"534")</f>
        <v>0</v>
      </c>
    </row>
    <row r="27" spans="1:19" x14ac:dyDescent="0.25">
      <c r="C27" s="1">
        <f>SUMIFS(Measurements!$E:$E,Measurements!$B:$B,Table_Query_from_Venus2[[#This Row],[serial_id]],Measurements!D:D,119,Measurements!H:H,'Removal Sheet'!Q27)</f>
        <v>0</v>
      </c>
      <c r="D27">
        <f>SUMIFS(Measurements!$E:$E,Measurements!$B:$B,Table_Query_from_Venus2[[#This Row],[serial_id]],Measurements!$D:$D,"432",Measurements!$H:$H,'Removal Sheet'!R27)</f>
        <v>0</v>
      </c>
      <c r="E27" s="4" t="e">
        <f t="shared" si="7"/>
        <v>#NUM!</v>
      </c>
      <c r="F27" s="4" t="e">
        <f t="shared" si="23"/>
        <v>#NUM!</v>
      </c>
      <c r="G27" s="4"/>
      <c r="H27" s="1">
        <f t="shared" si="1"/>
        <v>0</v>
      </c>
      <c r="I27" s="1">
        <f t="shared" si="2"/>
        <v>-4.1470000000000002</v>
      </c>
      <c r="J27" s="30">
        <v>4.1470000000000002</v>
      </c>
      <c r="K27" s="4" t="e">
        <f t="shared" si="3"/>
        <v>#NUM!</v>
      </c>
      <c r="L27" s="5">
        <f>SUMIFS(Measurements!$E:$E,Measurements!$B:$B,Table_Query_from_Venus2[[#This Row],[serial_id]],Measurements!$D:$D,"534",Measurements!$H:$H,'Removal Sheet'!S27)/100</f>
        <v>0</v>
      </c>
      <c r="M27" t="e">
        <f t="shared" si="4"/>
        <v>#NUM!</v>
      </c>
      <c r="N27" s="2" t="e">
        <f t="shared" si="5"/>
        <v>#NUM!</v>
      </c>
      <c r="O27" s="4" t="e">
        <f t="shared" si="6"/>
        <v>#NUM!</v>
      </c>
      <c r="P27" s="4" t="e">
        <f>0.9055*(-LOG10(Main!$H$2/100)/'Removal Sheet'!$N27)</f>
        <v>#NUM!</v>
      </c>
      <c r="Q27" s="7">
        <f>_xlfn.MAXIFS(Measurements!H:H,Measurements!C:C,TRIM(Table_Query_from_Venus2[[#This Row],[serial_id]]),Measurements!D:D,"119")</f>
        <v>0</v>
      </c>
      <c r="R27" s="7">
        <f>_xlfn.MAXIFS(Measurements!$H:$H,Measurements!$C:$C,TRIM(Table_Query_from_Venus2[[#This Row],[serial_id]]),Measurements!$D:$D,"432")</f>
        <v>0</v>
      </c>
      <c r="S27" s="7">
        <f>_xlfn.MAXIFS(Measurements!$H:$H,Measurements!$C:$C,TRIM(Table_Query_from_Venus2[[#This Row],[serial_id]]),Measurements!$D:$D,"534")</f>
        <v>0</v>
      </c>
    </row>
    <row r="28" spans="1:19" x14ac:dyDescent="0.25">
      <c r="C28" s="1">
        <f>SUMIFS(Measurements!$E:$E,Measurements!$B:$B,Table_Query_from_Venus2[[#This Row],[serial_id]],Measurements!D:D,119,Measurements!H:H,'Removal Sheet'!Q28)</f>
        <v>0</v>
      </c>
      <c r="D28">
        <f>SUMIFS(Measurements!$E:$E,Measurements!$B:$B,Table_Query_from_Venus2[[#This Row],[serial_id]],Measurements!$D:$D,"432",Measurements!$H:$H,'Removal Sheet'!R28)</f>
        <v>0</v>
      </c>
      <c r="E28" s="4" t="e">
        <f t="shared" si="7"/>
        <v>#NUM!</v>
      </c>
      <c r="F28" s="4" t="e">
        <f t="shared" si="23"/>
        <v>#NUM!</v>
      </c>
      <c r="G28" s="4"/>
      <c r="H28" s="1">
        <f t="shared" si="1"/>
        <v>0</v>
      </c>
      <c r="I28" s="1">
        <f t="shared" si="2"/>
        <v>-4.1470000000000002</v>
      </c>
      <c r="J28" s="30">
        <v>4.1470000000000002</v>
      </c>
      <c r="K28" s="4" t="e">
        <f t="shared" si="3"/>
        <v>#NUM!</v>
      </c>
      <c r="L28" s="5">
        <f>SUMIFS(Measurements!$E:$E,Measurements!$B:$B,Table_Query_from_Venus2[[#This Row],[serial_id]],Measurements!$D:$D,"534",Measurements!$H:$H,'Removal Sheet'!S28)/100</f>
        <v>0</v>
      </c>
      <c r="M28" t="e">
        <f t="shared" si="4"/>
        <v>#NUM!</v>
      </c>
      <c r="N28" s="2" t="e">
        <f t="shared" si="5"/>
        <v>#NUM!</v>
      </c>
      <c r="O28" s="4" t="e">
        <f t="shared" si="6"/>
        <v>#NUM!</v>
      </c>
      <c r="P28" s="4" t="e">
        <f>0.9055*(-LOG10(Main!$H$2/100)/'Removal Sheet'!$N28)</f>
        <v>#NUM!</v>
      </c>
      <c r="Q28" s="7">
        <f>_xlfn.MAXIFS(Measurements!H:H,Measurements!C:C,TRIM(Table_Query_from_Venus2[[#This Row],[serial_id]]),Measurements!D:D,"119")</f>
        <v>0</v>
      </c>
      <c r="R28" s="7">
        <f>_xlfn.MAXIFS(Measurements!$H:$H,Measurements!$C:$C,TRIM(Table_Query_from_Venus2[[#This Row],[serial_id]]),Measurements!$D:$D,"432")</f>
        <v>0</v>
      </c>
      <c r="S28" s="7">
        <f>_xlfn.MAXIFS(Measurements!$H:$H,Measurements!$C:$C,TRIM(Table_Query_from_Venus2[[#This Row],[serial_id]]),Measurements!$D:$D,"534")</f>
        <v>0</v>
      </c>
    </row>
    <row r="29" spans="1:19" x14ac:dyDescent="0.25">
      <c r="C29" s="1">
        <f>SUMIFS(Measurements!$E:$E,Measurements!$B:$B,Table_Query_from_Venus2[[#This Row],[serial_id]],Measurements!D:D,119,Measurements!H:H,'Removal Sheet'!Q29)</f>
        <v>0</v>
      </c>
      <c r="D29">
        <f>SUMIFS(Measurements!$E:$E,Measurements!$B:$B,Table_Query_from_Venus2[[#This Row],[serial_id]],Measurements!$D:$D,"432",Measurements!$H:$H,'Removal Sheet'!R29)</f>
        <v>0</v>
      </c>
      <c r="E29" s="4" t="e">
        <f t="shared" si="7"/>
        <v>#NUM!</v>
      </c>
      <c r="F29" s="4" t="e">
        <f t="shared" si="23"/>
        <v>#NUM!</v>
      </c>
      <c r="G29" s="4"/>
      <c r="H29" s="1">
        <f t="shared" si="1"/>
        <v>0</v>
      </c>
      <c r="I29" s="1">
        <f t="shared" si="2"/>
        <v>-4.1470000000000002</v>
      </c>
      <c r="J29" s="30">
        <v>4.1470000000000002</v>
      </c>
      <c r="K29" s="4" t="e">
        <f t="shared" si="3"/>
        <v>#NUM!</v>
      </c>
      <c r="L29" s="5">
        <f>SUMIFS(Measurements!$E:$E,Measurements!$B:$B,Table_Query_from_Venus2[[#This Row],[serial_id]],Measurements!$D:$D,"534",Measurements!$H:$H,'Removal Sheet'!S29)/100</f>
        <v>0</v>
      </c>
      <c r="M29" t="e">
        <f t="shared" si="4"/>
        <v>#NUM!</v>
      </c>
      <c r="N29" s="2" t="e">
        <f t="shared" si="5"/>
        <v>#NUM!</v>
      </c>
      <c r="O29" s="4" t="e">
        <f t="shared" si="6"/>
        <v>#NUM!</v>
      </c>
      <c r="P29" s="4" t="e">
        <f>0.9055*(-LOG10(Main!$H$2/100)/'Removal Sheet'!$N29)</f>
        <v>#NUM!</v>
      </c>
      <c r="Q29" s="7">
        <f>_xlfn.MAXIFS(Measurements!H:H,Measurements!C:C,TRIM(Table_Query_from_Venus2[[#This Row],[serial_id]]),Measurements!D:D,"119")</f>
        <v>0</v>
      </c>
      <c r="R29" s="7">
        <f>_xlfn.MAXIFS(Measurements!$H:$H,Measurements!$C:$C,TRIM(Table_Query_from_Venus2[[#This Row],[serial_id]]),Measurements!$D:$D,"432")</f>
        <v>0</v>
      </c>
      <c r="S29" s="7">
        <f>_xlfn.MAXIFS(Measurements!$H:$H,Measurements!$C:$C,TRIM(Table_Query_from_Venus2[[#This Row],[serial_id]]),Measurements!$D:$D,"534")</f>
        <v>0</v>
      </c>
    </row>
    <row r="30" spans="1:19" x14ac:dyDescent="0.25">
      <c r="C30" s="1">
        <f>SUMIFS(Measurements!$E:$E,Measurements!$B:$B,Table_Query_from_Venus2[[#This Row],[serial_id]],Measurements!D:D,119,Measurements!H:H,'Removal Sheet'!Q30)</f>
        <v>0</v>
      </c>
      <c r="D30">
        <f>SUMIFS(Measurements!$E:$E,Measurements!$B:$B,Table_Query_from_Venus2[[#This Row],[serial_id]],Measurements!$D:$D,"432",Measurements!$H:$H,'Removal Sheet'!R30)</f>
        <v>0</v>
      </c>
      <c r="E30" s="4" t="e">
        <f t="shared" si="7"/>
        <v>#NUM!</v>
      </c>
      <c r="F30" s="4" t="e">
        <f t="shared" si="23"/>
        <v>#NUM!</v>
      </c>
      <c r="G30" s="4"/>
      <c r="H30" s="1">
        <f t="shared" si="1"/>
        <v>0</v>
      </c>
      <c r="I30" s="1">
        <f t="shared" si="2"/>
        <v>-4.1470000000000002</v>
      </c>
      <c r="J30" s="30">
        <v>4.1470000000000002</v>
      </c>
      <c r="K30" s="4" t="e">
        <f t="shared" si="3"/>
        <v>#NUM!</v>
      </c>
      <c r="L30" s="5">
        <f>SUMIFS(Measurements!$E:$E,Measurements!$B:$B,Table_Query_from_Venus2[[#This Row],[serial_id]],Measurements!$D:$D,"534",Measurements!$H:$H,'Removal Sheet'!S30)/100</f>
        <v>0</v>
      </c>
      <c r="M30" t="e">
        <f t="shared" si="4"/>
        <v>#NUM!</v>
      </c>
      <c r="N30" s="2" t="e">
        <f t="shared" si="5"/>
        <v>#NUM!</v>
      </c>
      <c r="O30" s="4" t="e">
        <f t="shared" si="6"/>
        <v>#NUM!</v>
      </c>
      <c r="P30" s="4" t="e">
        <f>0.9055*(-LOG10(Main!$H$2/100)/'Removal Sheet'!$N30)</f>
        <v>#NUM!</v>
      </c>
      <c r="Q30" s="7">
        <f>_xlfn.MAXIFS(Measurements!H:H,Measurements!C:C,TRIM(Table_Query_from_Venus2[[#This Row],[serial_id]]),Measurements!D:D,"119")</f>
        <v>0</v>
      </c>
      <c r="R30" s="7">
        <f>_xlfn.MAXIFS(Measurements!$H:$H,Measurements!$C:$C,TRIM(Table_Query_from_Venus2[[#This Row],[serial_id]]),Measurements!$D:$D,"432")</f>
        <v>0</v>
      </c>
      <c r="S30" s="7">
        <f>_xlfn.MAXIFS(Measurements!$H:$H,Measurements!$C:$C,TRIM(Table_Query_from_Venus2[[#This Row],[serial_id]]),Measurements!$D:$D,"534")</f>
        <v>0</v>
      </c>
    </row>
    <row r="31" spans="1:19" x14ac:dyDescent="0.25">
      <c r="C31" s="1">
        <f>SUMIFS(Measurements!$E:$E,Measurements!$B:$B,Table_Query_from_Venus2[[#This Row],[serial_id]],Measurements!D:D,119,Measurements!H:H,'Removal Sheet'!Q31)</f>
        <v>0</v>
      </c>
      <c r="D31">
        <f>SUMIFS(Measurements!$E:$E,Measurements!$B:$B,Table_Query_from_Venus2[[#This Row],[serial_id]],Measurements!$D:$D,"432",Measurements!$H:$H,'Removal Sheet'!R31)</f>
        <v>0</v>
      </c>
      <c r="E31" s="4" t="e">
        <f t="shared" si="7"/>
        <v>#NUM!</v>
      </c>
      <c r="F31" s="4" t="e">
        <f t="shared" si="23"/>
        <v>#NUM!</v>
      </c>
      <c r="G31" s="4"/>
      <c r="H31" s="1">
        <f t="shared" si="1"/>
        <v>0</v>
      </c>
      <c r="I31" s="1">
        <f t="shared" si="2"/>
        <v>-4.1470000000000002</v>
      </c>
      <c r="J31" s="30">
        <v>4.1470000000000002</v>
      </c>
      <c r="K31" s="4" t="e">
        <f t="shared" si="3"/>
        <v>#NUM!</v>
      </c>
      <c r="L31" s="5">
        <f>SUMIFS(Measurements!$E:$E,Measurements!$B:$B,Table_Query_from_Venus2[[#This Row],[serial_id]],Measurements!$D:$D,"534",Measurements!$H:$H,'Removal Sheet'!S31)/100</f>
        <v>0</v>
      </c>
      <c r="M31" t="e">
        <f t="shared" si="4"/>
        <v>#NUM!</v>
      </c>
      <c r="N31" s="2" t="e">
        <f t="shared" si="5"/>
        <v>#NUM!</v>
      </c>
      <c r="O31" s="4" t="e">
        <f t="shared" si="6"/>
        <v>#NUM!</v>
      </c>
      <c r="P31" s="4" t="e">
        <f>0.9055*(-LOG10(Main!$H$2/100)/'Removal Sheet'!$N31)</f>
        <v>#NUM!</v>
      </c>
      <c r="Q31" s="7">
        <f>_xlfn.MAXIFS(Measurements!H:H,Measurements!C:C,TRIM(Table_Query_from_Venus2[[#This Row],[serial_id]]),Measurements!D:D,"119")</f>
        <v>0</v>
      </c>
      <c r="R31" s="7">
        <f>_xlfn.MAXIFS(Measurements!$H:$H,Measurements!$C:$C,TRIM(Table_Query_from_Venus2[[#This Row],[serial_id]]),Measurements!$D:$D,"432")</f>
        <v>0</v>
      </c>
      <c r="S31" s="7">
        <f>_xlfn.MAXIFS(Measurements!$H:$H,Measurements!$C:$C,TRIM(Table_Query_from_Venus2[[#This Row],[serial_id]]),Measurements!$D:$D,"534")</f>
        <v>0</v>
      </c>
    </row>
    <row r="32" spans="1:19" x14ac:dyDescent="0.25">
      <c r="C32" s="1">
        <f>SUMIFS(Measurements!$E:$E,Measurements!$B:$B,Table_Query_from_Venus2[[#This Row],[serial_id]],Measurements!D:D,119,Measurements!H:H,'Removal Sheet'!Q32)</f>
        <v>0</v>
      </c>
      <c r="D32">
        <f>SUMIFS(Measurements!$E:$E,Measurements!$B:$B,Table_Query_from_Venus2[[#This Row],[serial_id]],Measurements!$D:$D,"432",Measurements!$H:$H,'Removal Sheet'!R32)</f>
        <v>0</v>
      </c>
      <c r="E32" s="4" t="e">
        <f t="shared" si="7"/>
        <v>#NUM!</v>
      </c>
      <c r="F32" s="4" t="e">
        <f t="shared" si="23"/>
        <v>#NUM!</v>
      </c>
      <c r="G32" s="4"/>
      <c r="H32" s="1">
        <f t="shared" si="1"/>
        <v>0</v>
      </c>
      <c r="I32" s="1">
        <f t="shared" si="2"/>
        <v>-4.1470000000000002</v>
      </c>
      <c r="J32" s="30">
        <v>4.1470000000000002</v>
      </c>
      <c r="K32" s="4" t="e">
        <f t="shared" si="3"/>
        <v>#NUM!</v>
      </c>
      <c r="L32" s="5">
        <f>SUMIFS(Measurements!$E:$E,Measurements!$B:$B,Table_Query_from_Venus2[[#This Row],[serial_id]],Measurements!$D:$D,"534",Measurements!$H:$H,'Removal Sheet'!S32)/100</f>
        <v>0</v>
      </c>
      <c r="M32" t="e">
        <f t="shared" si="4"/>
        <v>#NUM!</v>
      </c>
      <c r="N32" s="2" t="e">
        <f t="shared" si="5"/>
        <v>#NUM!</v>
      </c>
      <c r="O32" s="4" t="e">
        <f t="shared" si="6"/>
        <v>#NUM!</v>
      </c>
      <c r="P32" s="4" t="e">
        <f>0.9055*(-LOG10(Main!$H$2/100)/'Removal Sheet'!$N32)</f>
        <v>#NUM!</v>
      </c>
      <c r="Q32" s="7">
        <f>_xlfn.MAXIFS(Measurements!H:H,Measurements!C:C,TRIM(Table_Query_from_Venus2[[#This Row],[serial_id]]),Measurements!D:D,"119")</f>
        <v>0</v>
      </c>
      <c r="R32" s="7">
        <f>_xlfn.MAXIFS(Measurements!$H:$H,Measurements!$C:$C,TRIM(Table_Query_from_Venus2[[#This Row],[serial_id]]),Measurements!$D:$D,"432")</f>
        <v>0</v>
      </c>
      <c r="S32" s="7">
        <f>_xlfn.MAXIFS(Measurements!$H:$H,Measurements!$C:$C,TRIM(Table_Query_from_Venus2[[#This Row],[serial_id]]),Measurements!$D:$D,"534")</f>
        <v>0</v>
      </c>
    </row>
    <row r="33" spans="3:19" x14ac:dyDescent="0.25">
      <c r="C33" s="1">
        <f>SUMIFS(Measurements!$E:$E,Measurements!$B:$B,Table_Query_from_Venus2[[#This Row],[serial_id]],Measurements!D:D,119,Measurements!H:H,'Removal Sheet'!Q33)</f>
        <v>0</v>
      </c>
      <c r="D33">
        <f>SUMIFS(Measurements!$E:$E,Measurements!$B:$B,Table_Query_from_Venus2[[#This Row],[serial_id]],Measurements!$D:$D,"432",Measurements!$H:$H,'Removal Sheet'!R33)</f>
        <v>0</v>
      </c>
      <c r="E33" s="4" t="e">
        <f t="shared" si="7"/>
        <v>#NUM!</v>
      </c>
      <c r="F33" s="4" t="e">
        <f t="shared" si="23"/>
        <v>#NUM!</v>
      </c>
      <c r="G33" s="4"/>
      <c r="H33" s="1">
        <f t="shared" si="1"/>
        <v>0</v>
      </c>
      <c r="I33" s="1">
        <f t="shared" si="2"/>
        <v>-4.1470000000000002</v>
      </c>
      <c r="J33" s="30">
        <v>4.1470000000000002</v>
      </c>
      <c r="K33" s="4" t="e">
        <f t="shared" si="3"/>
        <v>#NUM!</v>
      </c>
      <c r="L33" s="5">
        <f>SUMIFS(Measurements!$E:$E,Measurements!$B:$B,Table_Query_from_Venus2[[#This Row],[serial_id]],Measurements!$D:$D,"534",Measurements!$H:$H,'Removal Sheet'!S33)/100</f>
        <v>0</v>
      </c>
      <c r="M33" t="e">
        <f t="shared" si="4"/>
        <v>#NUM!</v>
      </c>
      <c r="N33" s="2" t="e">
        <f t="shared" si="5"/>
        <v>#NUM!</v>
      </c>
      <c r="O33" s="4" t="e">
        <f t="shared" si="6"/>
        <v>#NUM!</v>
      </c>
      <c r="P33" s="4" t="e">
        <f>0.9055*(-LOG10(Main!$H$2/100)/'Removal Sheet'!$N33)</f>
        <v>#NUM!</v>
      </c>
      <c r="Q33" s="7">
        <f>_xlfn.MAXIFS(Measurements!H:H,Measurements!C:C,TRIM(Table_Query_from_Venus2[[#This Row],[serial_id]]),Measurements!D:D,"119")</f>
        <v>0</v>
      </c>
      <c r="R33" s="7">
        <f>_xlfn.MAXIFS(Measurements!$H:$H,Measurements!$C:$C,TRIM(Table_Query_from_Venus2[[#This Row],[serial_id]]),Measurements!$D:$D,"432")</f>
        <v>0</v>
      </c>
      <c r="S33" s="7">
        <f>_xlfn.MAXIFS(Measurements!$H:$H,Measurements!$C:$C,TRIM(Table_Query_from_Venus2[[#This Row],[serial_id]]),Measurements!$D:$D,"534")</f>
        <v>0</v>
      </c>
    </row>
    <row r="34" spans="3:19" x14ac:dyDescent="0.25">
      <c r="C34" s="1">
        <f>SUMIFS(Measurements!$E:$E,Measurements!$B:$B,Table_Query_from_Venus2[[#This Row],[serial_id]],Measurements!D:D,119,Measurements!H:H,'Removal Sheet'!Q34)</f>
        <v>0</v>
      </c>
      <c r="D34">
        <f>SUMIFS(Measurements!$E:$E,Measurements!$B:$B,Table_Query_from_Venus2[[#This Row],[serial_id]],Measurements!$D:$D,"432",Measurements!$H:$H,'Removal Sheet'!R34)</f>
        <v>0</v>
      </c>
      <c r="E34" s="4" t="e">
        <f t="shared" si="7"/>
        <v>#NUM!</v>
      </c>
      <c r="F34" s="4" t="e">
        <f t="shared" si="23"/>
        <v>#NUM!</v>
      </c>
      <c r="G34" s="4"/>
      <c r="H34" s="1">
        <f t="shared" si="1"/>
        <v>0</v>
      </c>
      <c r="I34" s="1">
        <f t="shared" si="2"/>
        <v>-4.1470000000000002</v>
      </c>
      <c r="J34" s="30">
        <v>4.1470000000000002</v>
      </c>
      <c r="K34" s="4" t="e">
        <f t="shared" si="3"/>
        <v>#NUM!</v>
      </c>
      <c r="L34" s="5">
        <f>SUMIFS(Measurements!$E:$E,Measurements!$B:$B,Table_Query_from_Venus2[[#This Row],[serial_id]],Measurements!$D:$D,"534",Measurements!$H:$H,'Removal Sheet'!S34)/100</f>
        <v>0</v>
      </c>
      <c r="M34" t="e">
        <f t="shared" si="4"/>
        <v>#NUM!</v>
      </c>
      <c r="N34" s="2" t="e">
        <f t="shared" si="5"/>
        <v>#NUM!</v>
      </c>
      <c r="O34" s="4" t="e">
        <f t="shared" si="6"/>
        <v>#NUM!</v>
      </c>
      <c r="P34" s="4" t="e">
        <f>0.9055*(-LOG10(Main!$H$2/100)/'Removal Sheet'!$N34)</f>
        <v>#NUM!</v>
      </c>
      <c r="Q34" s="7">
        <f>_xlfn.MAXIFS(Measurements!H:H,Measurements!C:C,TRIM(Table_Query_from_Venus2[[#This Row],[serial_id]]),Measurements!D:D,"119")</f>
        <v>0</v>
      </c>
      <c r="R34" s="7">
        <f>_xlfn.MAXIFS(Measurements!$H:$H,Measurements!$C:$C,TRIM(Table_Query_from_Venus2[[#This Row],[serial_id]]),Measurements!$D:$D,"432")</f>
        <v>0</v>
      </c>
      <c r="S34" s="7">
        <f>_xlfn.MAXIFS(Measurements!$H:$H,Measurements!$C:$C,TRIM(Table_Query_from_Venus2[[#This Row],[serial_id]]),Measurements!$D:$D,"534")</f>
        <v>0</v>
      </c>
    </row>
    <row r="35" spans="3:19" x14ac:dyDescent="0.25">
      <c r="C35" s="1">
        <f>SUMIFS(Measurements!$E:$E,Measurements!$B:$B,Table_Query_from_Venus2[[#This Row],[serial_id]],Measurements!D:D,119,Measurements!H:H,'Removal Sheet'!Q35)</f>
        <v>0</v>
      </c>
      <c r="D35">
        <f>SUMIFS(Measurements!$E:$E,Measurements!$B:$B,Table_Query_from_Venus2[[#This Row],[serial_id]],Measurements!$D:$D,"432",Measurements!$H:$H,'Removal Sheet'!R35)</f>
        <v>0</v>
      </c>
      <c r="E35" s="4" t="e">
        <f t="shared" si="7"/>
        <v>#NUM!</v>
      </c>
      <c r="F35" s="4" t="e">
        <f t="shared" ref="F35:F53" si="24">C35-E35</f>
        <v>#NUM!</v>
      </c>
      <c r="G35" s="4"/>
      <c r="H35" s="1">
        <f t="shared" ref="H35:H53" si="25">C35-D35</f>
        <v>0</v>
      </c>
      <c r="I35" s="1">
        <f t="shared" ref="I35:I53" si="26">H35-J35</f>
        <v>-4.1470000000000002</v>
      </c>
      <c r="J35" s="30">
        <v>4.1470000000000002</v>
      </c>
      <c r="K35" s="4" t="e">
        <f t="shared" ref="K35:K53" si="27">C35-E35-I35</f>
        <v>#NUM!</v>
      </c>
      <c r="L35" s="5">
        <f>SUMIFS(Measurements!$E:$E,Measurements!$B:$B,Table_Query_from_Venus2[[#This Row],[serial_id]],Measurements!$D:$D,"534",Measurements!$H:$H,'Removal Sheet'!S35)/100</f>
        <v>0</v>
      </c>
      <c r="M35" t="e">
        <f t="shared" ref="M35:M53" si="28">-LOG10(L35)</f>
        <v>#NUM!</v>
      </c>
      <c r="N35" s="2" t="e">
        <f t="shared" ref="N35:N53" si="29">0.9055*M35/D35</f>
        <v>#NUM!</v>
      </c>
      <c r="O35" s="4" t="e">
        <f t="shared" ref="O35:O53" si="30">D35-P35</f>
        <v>#NUM!</v>
      </c>
      <c r="P35" s="4" t="e">
        <f>0.9055*(-LOG10(Main!$H$2/100)/'Removal Sheet'!$N35)</f>
        <v>#NUM!</v>
      </c>
      <c r="Q35" s="7">
        <f>_xlfn.MAXIFS(Measurements!H:H,Measurements!C:C,TRIM(Table_Query_from_Venus2[[#This Row],[serial_id]]),Measurements!D:D,"119")</f>
        <v>0</v>
      </c>
      <c r="R35" s="7">
        <f>_xlfn.MAXIFS(Measurements!$H:$H,Measurements!$C:$C,TRIM(Table_Query_from_Venus2[[#This Row],[serial_id]]),Measurements!$D:$D,"432")</f>
        <v>0</v>
      </c>
      <c r="S35" s="7">
        <f>_xlfn.MAXIFS(Measurements!$H:$H,Measurements!$C:$C,TRIM(Table_Query_from_Venus2[[#This Row],[serial_id]]),Measurements!$D:$D,"534")</f>
        <v>0</v>
      </c>
    </row>
    <row r="36" spans="3:19" x14ac:dyDescent="0.25">
      <c r="C36" s="1">
        <f>SUMIFS(Measurements!$E:$E,Measurements!$B:$B,Table_Query_from_Venus2[[#This Row],[serial_id]],Measurements!D:D,119,Measurements!H:H,'Removal Sheet'!Q36)</f>
        <v>0</v>
      </c>
      <c r="D36">
        <f>SUMIFS(Measurements!$E:$E,Measurements!$B:$B,Table_Query_from_Venus2[[#This Row],[serial_id]],Measurements!$D:$D,"432",Measurements!$H:$H,'Removal Sheet'!R36)</f>
        <v>0</v>
      </c>
      <c r="E36" s="4" t="e">
        <f t="shared" si="7"/>
        <v>#NUM!</v>
      </c>
      <c r="F36" s="4" t="e">
        <f t="shared" si="24"/>
        <v>#NUM!</v>
      </c>
      <c r="G36" s="4"/>
      <c r="H36" s="1">
        <f t="shared" si="25"/>
        <v>0</v>
      </c>
      <c r="I36" s="1">
        <f t="shared" si="26"/>
        <v>-4.1470000000000002</v>
      </c>
      <c r="J36" s="30">
        <v>4.1470000000000002</v>
      </c>
      <c r="K36" s="4" t="e">
        <f t="shared" si="27"/>
        <v>#NUM!</v>
      </c>
      <c r="L36" s="5">
        <f>SUMIFS(Measurements!$E:$E,Measurements!$B:$B,Table_Query_from_Venus2[[#This Row],[serial_id]],Measurements!$D:$D,"534",Measurements!$H:$H,'Removal Sheet'!S36)/100</f>
        <v>0</v>
      </c>
      <c r="M36" t="e">
        <f t="shared" si="28"/>
        <v>#NUM!</v>
      </c>
      <c r="N36" s="2" t="e">
        <f t="shared" si="29"/>
        <v>#NUM!</v>
      </c>
      <c r="O36" s="4" t="e">
        <f t="shared" si="30"/>
        <v>#NUM!</v>
      </c>
      <c r="P36" s="4" t="e">
        <f>0.9055*(-LOG10(Main!$H$2/100)/'Removal Sheet'!$N36)</f>
        <v>#NUM!</v>
      </c>
      <c r="Q36" s="7">
        <f>_xlfn.MAXIFS(Measurements!H:H,Measurements!C:C,TRIM(Table_Query_from_Venus2[[#This Row],[serial_id]]),Measurements!D:D,"119")</f>
        <v>0</v>
      </c>
      <c r="R36" s="7">
        <f>_xlfn.MAXIFS(Measurements!$H:$H,Measurements!$C:$C,TRIM(Table_Query_from_Venus2[[#This Row],[serial_id]]),Measurements!$D:$D,"432")</f>
        <v>0</v>
      </c>
      <c r="S36" s="7">
        <f>_xlfn.MAXIFS(Measurements!$H:$H,Measurements!$C:$C,TRIM(Table_Query_from_Venus2[[#This Row],[serial_id]]),Measurements!$D:$D,"534")</f>
        <v>0</v>
      </c>
    </row>
    <row r="37" spans="3:19" x14ac:dyDescent="0.25">
      <c r="C37" s="1">
        <f>SUMIFS(Measurements!$E:$E,Measurements!$B:$B,Table_Query_from_Venus2[[#This Row],[serial_id]],Measurements!D:D,119,Measurements!H:H,'Removal Sheet'!Q37)</f>
        <v>0</v>
      </c>
      <c r="D37">
        <f>SUMIFS(Measurements!$E:$E,Measurements!$B:$B,Table_Query_from_Venus2[[#This Row],[serial_id]],Measurements!$D:$D,"432",Measurements!$H:$H,'Removal Sheet'!R37)</f>
        <v>0</v>
      </c>
      <c r="E37" s="4" t="e">
        <f t="shared" si="7"/>
        <v>#NUM!</v>
      </c>
      <c r="F37" s="4" t="e">
        <f t="shared" si="24"/>
        <v>#NUM!</v>
      </c>
      <c r="G37" s="4"/>
      <c r="H37" s="1">
        <f t="shared" si="25"/>
        <v>0</v>
      </c>
      <c r="I37" s="1">
        <f t="shared" si="26"/>
        <v>-4.1470000000000002</v>
      </c>
      <c r="J37" s="30">
        <v>4.1470000000000002</v>
      </c>
      <c r="K37" s="4" t="e">
        <f t="shared" si="27"/>
        <v>#NUM!</v>
      </c>
      <c r="L37" s="5">
        <f>SUMIFS(Measurements!$E:$E,Measurements!$B:$B,Table_Query_from_Venus2[[#This Row],[serial_id]],Measurements!$D:$D,"534",Measurements!$H:$H,'Removal Sheet'!S37)/100</f>
        <v>0</v>
      </c>
      <c r="M37" t="e">
        <f t="shared" si="28"/>
        <v>#NUM!</v>
      </c>
      <c r="N37" s="2" t="e">
        <f t="shared" si="29"/>
        <v>#NUM!</v>
      </c>
      <c r="O37" s="4" t="e">
        <f t="shared" si="30"/>
        <v>#NUM!</v>
      </c>
      <c r="P37" s="4" t="e">
        <f>0.9055*(-LOG10(Main!$H$2/100)/'Removal Sheet'!$N37)</f>
        <v>#NUM!</v>
      </c>
      <c r="Q37" s="7">
        <f>_xlfn.MAXIFS(Measurements!H:H,Measurements!C:C,TRIM(Table_Query_from_Venus2[[#This Row],[serial_id]]),Measurements!D:D,"119")</f>
        <v>0</v>
      </c>
      <c r="R37" s="7">
        <f>_xlfn.MAXIFS(Measurements!$H:$H,Measurements!$C:$C,TRIM(Table_Query_from_Venus2[[#This Row],[serial_id]]),Measurements!$D:$D,"432")</f>
        <v>0</v>
      </c>
      <c r="S37" s="7">
        <f>_xlfn.MAXIFS(Measurements!$H:$H,Measurements!$C:$C,TRIM(Table_Query_from_Venus2[[#This Row],[serial_id]]),Measurements!$D:$D,"534")</f>
        <v>0</v>
      </c>
    </row>
    <row r="38" spans="3:19" x14ac:dyDescent="0.25">
      <c r="C38" s="1">
        <f>SUMIFS(Measurements!$E:$E,Measurements!$B:$B,Table_Query_from_Venus2[[#This Row],[serial_id]],Measurements!D:D,119,Measurements!H:H,'Removal Sheet'!Q38)</f>
        <v>0</v>
      </c>
      <c r="D38">
        <f>SUMIFS(Measurements!$E:$E,Measurements!$B:$B,Table_Query_from_Venus2[[#This Row],[serial_id]],Measurements!$D:$D,"432",Measurements!$H:$H,'Removal Sheet'!R38)</f>
        <v>0</v>
      </c>
      <c r="E38" s="4" t="e">
        <f t="shared" si="7"/>
        <v>#NUM!</v>
      </c>
      <c r="F38" s="4" t="e">
        <f t="shared" si="24"/>
        <v>#NUM!</v>
      </c>
      <c r="G38" s="4"/>
      <c r="H38" s="1">
        <f t="shared" si="25"/>
        <v>0</v>
      </c>
      <c r="I38" s="1">
        <f t="shared" si="26"/>
        <v>-4.1470000000000002</v>
      </c>
      <c r="J38" s="30">
        <v>4.1470000000000002</v>
      </c>
      <c r="K38" s="4" t="e">
        <f t="shared" si="27"/>
        <v>#NUM!</v>
      </c>
      <c r="L38" s="5">
        <f>SUMIFS(Measurements!$E:$E,Measurements!$B:$B,Table_Query_from_Venus2[[#This Row],[serial_id]],Measurements!$D:$D,"534",Measurements!$H:$H,'Removal Sheet'!S38)/100</f>
        <v>0</v>
      </c>
      <c r="M38" t="e">
        <f t="shared" si="28"/>
        <v>#NUM!</v>
      </c>
      <c r="N38" s="2" t="e">
        <f t="shared" si="29"/>
        <v>#NUM!</v>
      </c>
      <c r="O38" s="4" t="e">
        <f t="shared" si="30"/>
        <v>#NUM!</v>
      </c>
      <c r="P38" s="4" t="e">
        <f>0.9055*(-LOG10(Main!$H$2/100)/'Removal Sheet'!$N38)</f>
        <v>#NUM!</v>
      </c>
      <c r="Q38" s="7">
        <f>_xlfn.MAXIFS(Measurements!H:H,Measurements!C:C,TRIM(Table_Query_from_Venus2[[#This Row],[serial_id]]),Measurements!D:D,"119")</f>
        <v>0</v>
      </c>
      <c r="R38" s="7">
        <f>_xlfn.MAXIFS(Measurements!$H:$H,Measurements!$C:$C,TRIM(Table_Query_from_Venus2[[#This Row],[serial_id]]),Measurements!$D:$D,"432")</f>
        <v>0</v>
      </c>
      <c r="S38" s="7">
        <f>_xlfn.MAXIFS(Measurements!$H:$H,Measurements!$C:$C,TRIM(Table_Query_from_Venus2[[#This Row],[serial_id]]),Measurements!$D:$D,"534")</f>
        <v>0</v>
      </c>
    </row>
    <row r="39" spans="3:19" x14ac:dyDescent="0.25">
      <c r="C39" s="1">
        <f>SUMIFS(Measurements!$E:$E,Measurements!$B:$B,Table_Query_from_Venus2[[#This Row],[serial_id]],Measurements!D:D,119,Measurements!H:H,'Removal Sheet'!Q39)</f>
        <v>0</v>
      </c>
      <c r="D39">
        <f>SUMIFS(Measurements!$E:$E,Measurements!$B:$B,Table_Query_from_Venus2[[#This Row],[serial_id]],Measurements!$D:$D,"432",Measurements!$H:$H,'Removal Sheet'!R39)</f>
        <v>0</v>
      </c>
      <c r="E39" s="4" t="e">
        <f t="shared" si="7"/>
        <v>#NUM!</v>
      </c>
      <c r="F39" s="4" t="e">
        <f t="shared" si="24"/>
        <v>#NUM!</v>
      </c>
      <c r="G39" s="4"/>
      <c r="H39" s="1">
        <f t="shared" si="25"/>
        <v>0</v>
      </c>
      <c r="I39" s="1">
        <f t="shared" si="26"/>
        <v>-4.1470000000000002</v>
      </c>
      <c r="J39" s="30">
        <v>4.1470000000000002</v>
      </c>
      <c r="K39" s="4" t="e">
        <f t="shared" si="27"/>
        <v>#NUM!</v>
      </c>
      <c r="L39" s="5">
        <f>SUMIFS(Measurements!$E:$E,Measurements!$B:$B,Table_Query_from_Venus2[[#This Row],[serial_id]],Measurements!$D:$D,"534",Measurements!$H:$H,'Removal Sheet'!S39)/100</f>
        <v>0</v>
      </c>
      <c r="M39" t="e">
        <f t="shared" si="28"/>
        <v>#NUM!</v>
      </c>
      <c r="N39" s="2" t="e">
        <f t="shared" si="29"/>
        <v>#NUM!</v>
      </c>
      <c r="O39" s="4" t="e">
        <f t="shared" si="30"/>
        <v>#NUM!</v>
      </c>
      <c r="P39" s="4" t="e">
        <f>0.9055*(-LOG10(Main!$H$2/100)/'Removal Sheet'!$N39)</f>
        <v>#NUM!</v>
      </c>
      <c r="Q39" s="7">
        <f>_xlfn.MAXIFS(Measurements!H:H,Measurements!C:C,TRIM(Table_Query_from_Venus2[[#This Row],[serial_id]]),Measurements!D:D,"119")</f>
        <v>0</v>
      </c>
      <c r="R39" s="7">
        <f>_xlfn.MAXIFS(Measurements!$H:$H,Measurements!$C:$C,TRIM(Table_Query_from_Venus2[[#This Row],[serial_id]]),Measurements!$D:$D,"432")</f>
        <v>0</v>
      </c>
      <c r="S39" s="7">
        <f>_xlfn.MAXIFS(Measurements!$H:$H,Measurements!$C:$C,TRIM(Table_Query_from_Venus2[[#This Row],[serial_id]]),Measurements!$D:$D,"534")</f>
        <v>0</v>
      </c>
    </row>
    <row r="40" spans="3:19" x14ac:dyDescent="0.25">
      <c r="C40" s="1">
        <f>SUMIFS(Measurements!$E:$E,Measurements!$B:$B,Table_Query_from_Venus2[[#This Row],[serial_id]],Measurements!D:D,119,Measurements!H:H,'Removal Sheet'!Q40)</f>
        <v>0</v>
      </c>
      <c r="D40">
        <f>SUMIFS(Measurements!$E:$E,Measurements!$B:$B,Table_Query_from_Venus2[[#This Row],[serial_id]],Measurements!$D:$D,"432",Measurements!$H:$H,'Removal Sheet'!R40)</f>
        <v>0</v>
      </c>
      <c r="E40" s="4" t="e">
        <f t="shared" si="7"/>
        <v>#NUM!</v>
      </c>
      <c r="F40" s="4" t="e">
        <f t="shared" si="24"/>
        <v>#NUM!</v>
      </c>
      <c r="G40" s="4"/>
      <c r="H40" s="1">
        <f t="shared" si="25"/>
        <v>0</v>
      </c>
      <c r="I40" s="1">
        <f t="shared" si="26"/>
        <v>-4.1470000000000002</v>
      </c>
      <c r="J40" s="30">
        <v>4.1470000000000002</v>
      </c>
      <c r="K40" s="4" t="e">
        <f t="shared" si="27"/>
        <v>#NUM!</v>
      </c>
      <c r="L40" s="5">
        <f>SUMIFS(Measurements!$E:$E,Measurements!$B:$B,Table_Query_from_Venus2[[#This Row],[serial_id]],Measurements!$D:$D,"534",Measurements!$H:$H,'Removal Sheet'!S40)/100</f>
        <v>0</v>
      </c>
      <c r="M40" t="e">
        <f t="shared" si="28"/>
        <v>#NUM!</v>
      </c>
      <c r="N40" s="2" t="e">
        <f t="shared" si="29"/>
        <v>#NUM!</v>
      </c>
      <c r="O40" s="4" t="e">
        <f t="shared" si="30"/>
        <v>#NUM!</v>
      </c>
      <c r="P40" s="4" t="e">
        <f>0.9055*(-LOG10(Main!$H$2/100)/'Removal Sheet'!$N40)</f>
        <v>#NUM!</v>
      </c>
      <c r="Q40" s="7">
        <f>_xlfn.MAXIFS(Measurements!H:H,Measurements!C:C,TRIM(Table_Query_from_Venus2[[#This Row],[serial_id]]),Measurements!D:D,"119")</f>
        <v>0</v>
      </c>
      <c r="R40" s="7">
        <f>_xlfn.MAXIFS(Measurements!$H:$H,Measurements!$C:$C,TRIM(Table_Query_from_Venus2[[#This Row],[serial_id]]),Measurements!$D:$D,"432")</f>
        <v>0</v>
      </c>
      <c r="S40" s="7">
        <f>_xlfn.MAXIFS(Measurements!$H:$H,Measurements!$C:$C,TRIM(Table_Query_from_Venus2[[#This Row],[serial_id]]),Measurements!$D:$D,"534")</f>
        <v>0</v>
      </c>
    </row>
    <row r="41" spans="3:19" x14ac:dyDescent="0.25">
      <c r="C41" s="1">
        <f>SUMIFS(Measurements!$E:$E,Measurements!$B:$B,Table_Query_from_Venus2[[#This Row],[serial_id]],Measurements!D:D,119,Measurements!H:H,'Removal Sheet'!Q41)</f>
        <v>0</v>
      </c>
      <c r="D41">
        <f>SUMIFS(Measurements!$E:$E,Measurements!$B:$B,Table_Query_from_Venus2[[#This Row],[serial_id]],Measurements!$D:$D,"432",Measurements!$H:$H,'Removal Sheet'!R41)</f>
        <v>0</v>
      </c>
      <c r="E41" s="4" t="e">
        <f t="shared" si="7"/>
        <v>#NUM!</v>
      </c>
      <c r="F41" s="4" t="e">
        <f t="shared" si="24"/>
        <v>#NUM!</v>
      </c>
      <c r="G41" s="4"/>
      <c r="H41" s="1">
        <f t="shared" si="25"/>
        <v>0</v>
      </c>
      <c r="I41" s="1">
        <f t="shared" si="26"/>
        <v>-4.1470000000000002</v>
      </c>
      <c r="J41" s="30">
        <v>4.1470000000000002</v>
      </c>
      <c r="K41" s="4" t="e">
        <f t="shared" si="27"/>
        <v>#NUM!</v>
      </c>
      <c r="L41" s="5">
        <f>SUMIFS(Measurements!$E:$E,Measurements!$B:$B,Table_Query_from_Venus2[[#This Row],[serial_id]],Measurements!$D:$D,"534",Measurements!$H:$H,'Removal Sheet'!S41)/100</f>
        <v>0</v>
      </c>
      <c r="M41" t="e">
        <f t="shared" si="28"/>
        <v>#NUM!</v>
      </c>
      <c r="N41" s="2" t="e">
        <f t="shared" si="29"/>
        <v>#NUM!</v>
      </c>
      <c r="O41" s="4" t="e">
        <f t="shared" si="30"/>
        <v>#NUM!</v>
      </c>
      <c r="P41" s="4" t="e">
        <f>0.9055*(-LOG10(Main!$H$2/100)/'Removal Sheet'!$N41)</f>
        <v>#NUM!</v>
      </c>
      <c r="Q41" s="7">
        <f>_xlfn.MAXIFS(Measurements!H:H,Measurements!C:C,TRIM(Table_Query_from_Venus2[[#This Row],[serial_id]]),Measurements!D:D,"119")</f>
        <v>0</v>
      </c>
      <c r="R41" s="7">
        <f>_xlfn.MAXIFS(Measurements!$H:$H,Measurements!$C:$C,TRIM(Table_Query_from_Venus2[[#This Row],[serial_id]]),Measurements!$D:$D,"432")</f>
        <v>0</v>
      </c>
      <c r="S41" s="7">
        <f>_xlfn.MAXIFS(Measurements!$H:$H,Measurements!$C:$C,TRIM(Table_Query_from_Venus2[[#This Row],[serial_id]]),Measurements!$D:$D,"534")</f>
        <v>0</v>
      </c>
    </row>
    <row r="42" spans="3:19" x14ac:dyDescent="0.25">
      <c r="C42" s="1">
        <f>SUMIFS(Measurements!$E:$E,Measurements!$B:$B,Table_Query_from_Venus2[[#This Row],[serial_id]],Measurements!D:D,119,Measurements!H:H,'Removal Sheet'!Q42)</f>
        <v>0</v>
      </c>
      <c r="D42">
        <f>SUMIFS(Measurements!$E:$E,Measurements!$B:$B,Table_Query_from_Venus2[[#This Row],[serial_id]],Measurements!$D:$D,"432",Measurements!$H:$H,'Removal Sheet'!R42)</f>
        <v>0</v>
      </c>
      <c r="E42" s="4" t="e">
        <f t="shared" si="7"/>
        <v>#NUM!</v>
      </c>
      <c r="F42" s="4" t="e">
        <f t="shared" si="24"/>
        <v>#NUM!</v>
      </c>
      <c r="G42" s="4"/>
      <c r="H42" s="1">
        <f t="shared" si="25"/>
        <v>0</v>
      </c>
      <c r="I42" s="1">
        <f t="shared" si="26"/>
        <v>-4.1470000000000002</v>
      </c>
      <c r="J42" s="30">
        <v>4.1470000000000002</v>
      </c>
      <c r="K42" s="4" t="e">
        <f t="shared" si="27"/>
        <v>#NUM!</v>
      </c>
      <c r="L42" s="5">
        <f>SUMIFS(Measurements!$E:$E,Measurements!$B:$B,Table_Query_from_Venus2[[#This Row],[serial_id]],Measurements!$D:$D,"534",Measurements!$H:$H,'Removal Sheet'!S42)/100</f>
        <v>0</v>
      </c>
      <c r="M42" t="e">
        <f t="shared" si="28"/>
        <v>#NUM!</v>
      </c>
      <c r="N42" s="2" t="e">
        <f t="shared" si="29"/>
        <v>#NUM!</v>
      </c>
      <c r="O42" s="4" t="e">
        <f t="shared" si="30"/>
        <v>#NUM!</v>
      </c>
      <c r="P42" s="4" t="e">
        <f>0.9055*(-LOG10(Main!$H$2/100)/'Removal Sheet'!$N42)</f>
        <v>#NUM!</v>
      </c>
      <c r="Q42" s="7">
        <f>_xlfn.MAXIFS(Measurements!H:H,Measurements!C:C,TRIM(Table_Query_from_Venus2[[#This Row],[serial_id]]),Measurements!D:D,"119")</f>
        <v>0</v>
      </c>
      <c r="R42" s="7">
        <f>_xlfn.MAXIFS(Measurements!$H:$H,Measurements!$C:$C,TRIM(Table_Query_from_Venus2[[#This Row],[serial_id]]),Measurements!$D:$D,"432")</f>
        <v>0</v>
      </c>
      <c r="S42" s="7">
        <f>_xlfn.MAXIFS(Measurements!$H:$H,Measurements!$C:$C,TRIM(Table_Query_from_Venus2[[#This Row],[serial_id]]),Measurements!$D:$D,"534")</f>
        <v>0</v>
      </c>
    </row>
    <row r="43" spans="3:19" x14ac:dyDescent="0.25">
      <c r="C43" s="1">
        <f>SUMIFS(Measurements!$E:$E,Measurements!$B:$B,Table_Query_from_Venus2[[#This Row],[serial_id]],Measurements!D:D,119,Measurements!H:H,'Removal Sheet'!Q43)</f>
        <v>0</v>
      </c>
      <c r="D43">
        <f>SUMIFS(Measurements!$E:$E,Measurements!$B:$B,Table_Query_from_Venus2[[#This Row],[serial_id]],Measurements!$D:$D,"432",Measurements!$H:$H,'Removal Sheet'!R43)</f>
        <v>0</v>
      </c>
      <c r="E43" s="4" t="e">
        <f t="shared" si="7"/>
        <v>#NUM!</v>
      </c>
      <c r="F43" s="4" t="e">
        <f t="shared" si="24"/>
        <v>#NUM!</v>
      </c>
      <c r="G43" s="4"/>
      <c r="H43" s="1">
        <f t="shared" si="25"/>
        <v>0</v>
      </c>
      <c r="I43" s="1">
        <f t="shared" si="26"/>
        <v>-4.1470000000000002</v>
      </c>
      <c r="J43" s="30">
        <v>4.1470000000000002</v>
      </c>
      <c r="K43" s="4" t="e">
        <f t="shared" si="27"/>
        <v>#NUM!</v>
      </c>
      <c r="L43" s="5">
        <f>SUMIFS(Measurements!$E:$E,Measurements!$B:$B,Table_Query_from_Venus2[[#This Row],[serial_id]],Measurements!$D:$D,"534",Measurements!$H:$H,'Removal Sheet'!S43)/100</f>
        <v>0</v>
      </c>
      <c r="M43" t="e">
        <f t="shared" si="28"/>
        <v>#NUM!</v>
      </c>
      <c r="N43" s="2" t="e">
        <f t="shared" si="29"/>
        <v>#NUM!</v>
      </c>
      <c r="O43" s="4" t="e">
        <f t="shared" si="30"/>
        <v>#NUM!</v>
      </c>
      <c r="P43" s="4" t="e">
        <f>0.9055*(-LOG10(Main!$H$2/100)/'Removal Sheet'!$N43)</f>
        <v>#NUM!</v>
      </c>
      <c r="Q43" s="7">
        <f>_xlfn.MAXIFS(Measurements!H:H,Measurements!C:C,TRIM(Table_Query_from_Venus2[[#This Row],[serial_id]]),Measurements!D:D,"119")</f>
        <v>0</v>
      </c>
      <c r="R43" s="7">
        <f>_xlfn.MAXIFS(Measurements!$H:$H,Measurements!$C:$C,TRIM(Table_Query_from_Venus2[[#This Row],[serial_id]]),Measurements!$D:$D,"432")</f>
        <v>0</v>
      </c>
      <c r="S43" s="7">
        <f>_xlfn.MAXIFS(Measurements!$H:$H,Measurements!$C:$C,TRIM(Table_Query_from_Venus2[[#This Row],[serial_id]]),Measurements!$D:$D,"534")</f>
        <v>0</v>
      </c>
    </row>
    <row r="44" spans="3:19" x14ac:dyDescent="0.25">
      <c r="C44" s="1">
        <f>SUMIFS(Measurements!$E:$E,Measurements!$B:$B,Table_Query_from_Venus2[[#This Row],[serial_id]],Measurements!D:D,119,Measurements!H:H,'Removal Sheet'!Q44)</f>
        <v>0</v>
      </c>
      <c r="D44">
        <f>SUMIFS(Measurements!$E:$E,Measurements!$B:$B,Table_Query_from_Venus2[[#This Row],[serial_id]],Measurements!$D:$D,"432",Measurements!$H:$H,'Removal Sheet'!R44)</f>
        <v>0</v>
      </c>
      <c r="E44" s="4" t="e">
        <f t="shared" si="7"/>
        <v>#NUM!</v>
      </c>
      <c r="F44" s="4" t="e">
        <f t="shared" si="24"/>
        <v>#NUM!</v>
      </c>
      <c r="G44" s="4"/>
      <c r="H44" s="1">
        <f t="shared" si="25"/>
        <v>0</v>
      </c>
      <c r="I44" s="1">
        <f t="shared" si="26"/>
        <v>-4.1470000000000002</v>
      </c>
      <c r="J44" s="30">
        <v>4.1470000000000002</v>
      </c>
      <c r="K44" s="4" t="e">
        <f t="shared" si="27"/>
        <v>#NUM!</v>
      </c>
      <c r="L44" s="5">
        <f>SUMIFS(Measurements!$E:$E,Measurements!$B:$B,Table_Query_from_Venus2[[#This Row],[serial_id]],Measurements!$D:$D,"534",Measurements!$H:$H,'Removal Sheet'!S44)/100</f>
        <v>0</v>
      </c>
      <c r="M44" t="e">
        <f t="shared" si="28"/>
        <v>#NUM!</v>
      </c>
      <c r="N44" s="2" t="e">
        <f t="shared" si="29"/>
        <v>#NUM!</v>
      </c>
      <c r="O44" s="4" t="e">
        <f t="shared" si="30"/>
        <v>#NUM!</v>
      </c>
      <c r="P44" s="4" t="e">
        <f>0.9055*(-LOG10(Main!$H$2/100)/'Removal Sheet'!$N44)</f>
        <v>#NUM!</v>
      </c>
      <c r="Q44" s="7">
        <f>_xlfn.MAXIFS(Measurements!H:H,Measurements!C:C,TRIM(Table_Query_from_Venus2[[#This Row],[serial_id]]),Measurements!D:D,"119")</f>
        <v>0</v>
      </c>
      <c r="R44" s="7">
        <f>_xlfn.MAXIFS(Measurements!$H:$H,Measurements!$C:$C,TRIM(Table_Query_from_Venus2[[#This Row],[serial_id]]),Measurements!$D:$D,"432")</f>
        <v>0</v>
      </c>
      <c r="S44" s="7">
        <f>_xlfn.MAXIFS(Measurements!$H:$H,Measurements!$C:$C,TRIM(Table_Query_from_Venus2[[#This Row],[serial_id]]),Measurements!$D:$D,"534")</f>
        <v>0</v>
      </c>
    </row>
    <row r="45" spans="3:19" x14ac:dyDescent="0.25">
      <c r="C45" s="1">
        <f>SUMIFS(Measurements!$E:$E,Measurements!$B:$B,Table_Query_from_Venus2[[#This Row],[serial_id]],Measurements!D:D,119,Measurements!H:H,'Removal Sheet'!Q45)</f>
        <v>0</v>
      </c>
      <c r="D45">
        <f>SUMIFS(Measurements!$E:$E,Measurements!$B:$B,Table_Query_from_Venus2[[#This Row],[serial_id]],Measurements!$D:$D,"432",Measurements!$H:$H,'Removal Sheet'!R45)</f>
        <v>0</v>
      </c>
      <c r="E45" s="4" t="e">
        <f t="shared" si="7"/>
        <v>#NUM!</v>
      </c>
      <c r="F45" s="4" t="e">
        <f t="shared" si="24"/>
        <v>#NUM!</v>
      </c>
      <c r="G45" s="4"/>
      <c r="H45" s="1">
        <f t="shared" si="25"/>
        <v>0</v>
      </c>
      <c r="I45" s="1">
        <f t="shared" si="26"/>
        <v>-4.1470000000000002</v>
      </c>
      <c r="J45" s="30">
        <v>4.1470000000000002</v>
      </c>
      <c r="K45" s="4" t="e">
        <f t="shared" si="27"/>
        <v>#NUM!</v>
      </c>
      <c r="L45" s="5">
        <f>SUMIFS(Measurements!$E:$E,Measurements!$B:$B,Table_Query_from_Venus2[[#This Row],[serial_id]],Measurements!$D:$D,"534",Measurements!$H:$H,'Removal Sheet'!S45)/100</f>
        <v>0</v>
      </c>
      <c r="M45" t="e">
        <f t="shared" si="28"/>
        <v>#NUM!</v>
      </c>
      <c r="N45" s="2" t="e">
        <f t="shared" si="29"/>
        <v>#NUM!</v>
      </c>
      <c r="O45" s="4" t="e">
        <f t="shared" si="30"/>
        <v>#NUM!</v>
      </c>
      <c r="P45" s="4" t="e">
        <f>0.9055*(-LOG10(Main!$H$2/100)/'Removal Sheet'!$N45)</f>
        <v>#NUM!</v>
      </c>
      <c r="Q45" s="7">
        <f>_xlfn.MAXIFS(Measurements!H:H,Measurements!C:C,TRIM(Table_Query_from_Venus2[[#This Row],[serial_id]]),Measurements!D:D,"119")</f>
        <v>0</v>
      </c>
      <c r="R45" s="7">
        <f>_xlfn.MAXIFS(Measurements!$H:$H,Measurements!$C:$C,TRIM(Table_Query_from_Venus2[[#This Row],[serial_id]]),Measurements!$D:$D,"432")</f>
        <v>0</v>
      </c>
      <c r="S45" s="7">
        <f>_xlfn.MAXIFS(Measurements!$H:$H,Measurements!$C:$C,TRIM(Table_Query_from_Venus2[[#This Row],[serial_id]]),Measurements!$D:$D,"534")</f>
        <v>0</v>
      </c>
    </row>
    <row r="46" spans="3:19" x14ac:dyDescent="0.25">
      <c r="C46" s="1">
        <f>SUMIFS(Measurements!$E:$E,Measurements!$B:$B,Table_Query_from_Venus2[[#This Row],[serial_id]],Measurements!D:D,119,Measurements!H:H,'Removal Sheet'!Q46)</f>
        <v>0</v>
      </c>
      <c r="D46">
        <f>SUMIFS(Measurements!$E:$E,Measurements!$B:$B,Table_Query_from_Venus2[[#This Row],[serial_id]],Measurements!$D:$D,"432",Measurements!$H:$H,'Removal Sheet'!R46)</f>
        <v>0</v>
      </c>
      <c r="E46" s="4" t="e">
        <f t="shared" si="7"/>
        <v>#NUM!</v>
      </c>
      <c r="F46" s="4" t="e">
        <f t="shared" si="24"/>
        <v>#NUM!</v>
      </c>
      <c r="G46" s="4"/>
      <c r="H46" s="1">
        <f t="shared" si="25"/>
        <v>0</v>
      </c>
      <c r="I46" s="1">
        <f t="shared" si="26"/>
        <v>-4.1470000000000002</v>
      </c>
      <c r="J46" s="30">
        <v>4.1470000000000002</v>
      </c>
      <c r="K46" s="4" t="e">
        <f t="shared" si="27"/>
        <v>#NUM!</v>
      </c>
      <c r="L46" s="5">
        <f>SUMIFS(Measurements!$E:$E,Measurements!$B:$B,Table_Query_from_Venus2[[#This Row],[serial_id]],Measurements!$D:$D,"534",Measurements!$H:$H,'Removal Sheet'!S46)/100</f>
        <v>0</v>
      </c>
      <c r="M46" t="e">
        <f t="shared" si="28"/>
        <v>#NUM!</v>
      </c>
      <c r="N46" s="2" t="e">
        <f t="shared" si="29"/>
        <v>#NUM!</v>
      </c>
      <c r="O46" s="4" t="e">
        <f t="shared" si="30"/>
        <v>#NUM!</v>
      </c>
      <c r="P46" s="4" t="e">
        <f>0.9055*(-LOG10(Main!$H$2/100)/'Removal Sheet'!$N46)</f>
        <v>#NUM!</v>
      </c>
      <c r="Q46" s="7">
        <f>_xlfn.MAXIFS(Measurements!H:H,Measurements!C:C,TRIM(Table_Query_from_Venus2[[#This Row],[serial_id]]),Measurements!D:D,"119")</f>
        <v>0</v>
      </c>
      <c r="R46" s="7">
        <f>_xlfn.MAXIFS(Measurements!$H:$H,Measurements!$C:$C,TRIM(Table_Query_from_Venus2[[#This Row],[serial_id]]),Measurements!$D:$D,"432")</f>
        <v>0</v>
      </c>
      <c r="S46" s="7">
        <f>_xlfn.MAXIFS(Measurements!$H:$H,Measurements!$C:$C,TRIM(Table_Query_from_Venus2[[#This Row],[serial_id]]),Measurements!$D:$D,"534")</f>
        <v>0</v>
      </c>
    </row>
    <row r="47" spans="3:19" x14ac:dyDescent="0.25">
      <c r="C47" s="1">
        <f>SUMIFS(Measurements!$E:$E,Measurements!$B:$B,Table_Query_from_Venus2[[#This Row],[serial_id]],Measurements!D:D,119,Measurements!H:H,'Removal Sheet'!Q47)</f>
        <v>0</v>
      </c>
      <c r="D47">
        <f>SUMIFS(Measurements!$E:$E,Measurements!$B:$B,Table_Query_from_Venus2[[#This Row],[serial_id]],Measurements!$D:$D,"432",Measurements!$H:$H,'Removal Sheet'!R47)</f>
        <v>0</v>
      </c>
      <c r="E47" s="4" t="e">
        <f t="shared" si="7"/>
        <v>#NUM!</v>
      </c>
      <c r="F47" s="4" t="e">
        <f t="shared" si="24"/>
        <v>#NUM!</v>
      </c>
      <c r="G47" s="4"/>
      <c r="H47" s="1">
        <f t="shared" si="25"/>
        <v>0</v>
      </c>
      <c r="I47" s="1">
        <f t="shared" si="26"/>
        <v>-4.1470000000000002</v>
      </c>
      <c r="J47" s="30">
        <v>4.1470000000000002</v>
      </c>
      <c r="K47" s="4" t="e">
        <f t="shared" si="27"/>
        <v>#NUM!</v>
      </c>
      <c r="L47" s="5">
        <f>SUMIFS(Measurements!$E:$E,Measurements!$B:$B,Table_Query_from_Venus2[[#This Row],[serial_id]],Measurements!$D:$D,"534",Measurements!$H:$H,'Removal Sheet'!S47)/100</f>
        <v>0</v>
      </c>
      <c r="M47" t="e">
        <f t="shared" si="28"/>
        <v>#NUM!</v>
      </c>
      <c r="N47" s="2" t="e">
        <f t="shared" si="29"/>
        <v>#NUM!</v>
      </c>
      <c r="O47" s="4" t="e">
        <f t="shared" si="30"/>
        <v>#NUM!</v>
      </c>
      <c r="P47" s="4" t="e">
        <f>0.9055*(-LOG10(Main!$H$2/100)/'Removal Sheet'!$N47)</f>
        <v>#NUM!</v>
      </c>
      <c r="Q47" s="7">
        <f>_xlfn.MAXIFS(Measurements!H:H,Measurements!C:C,TRIM(Table_Query_from_Venus2[[#This Row],[serial_id]]),Measurements!D:D,"119")</f>
        <v>0</v>
      </c>
      <c r="R47" s="7">
        <f>_xlfn.MAXIFS(Measurements!$H:$H,Measurements!$C:$C,TRIM(Table_Query_from_Venus2[[#This Row],[serial_id]]),Measurements!$D:$D,"432")</f>
        <v>0</v>
      </c>
      <c r="S47" s="7">
        <f>_xlfn.MAXIFS(Measurements!$H:$H,Measurements!$C:$C,TRIM(Table_Query_from_Venus2[[#This Row],[serial_id]]),Measurements!$D:$D,"534")</f>
        <v>0</v>
      </c>
    </row>
    <row r="48" spans="3:19" x14ac:dyDescent="0.25">
      <c r="C48" s="1">
        <f>SUMIFS(Measurements!$E:$E,Measurements!$B:$B,Table_Query_from_Venus2[[#This Row],[serial_id]],Measurements!D:D,119,Measurements!H:H,'Removal Sheet'!Q48)</f>
        <v>0</v>
      </c>
      <c r="D48">
        <f>SUMIFS(Measurements!$E:$E,Measurements!$B:$B,Table_Query_from_Venus2[[#This Row],[serial_id]],Measurements!$D:$D,"432",Measurements!$H:$H,'Removal Sheet'!R48)</f>
        <v>0</v>
      </c>
      <c r="E48" s="4" t="e">
        <f t="shared" si="7"/>
        <v>#NUM!</v>
      </c>
      <c r="F48" s="4" t="e">
        <f t="shared" si="24"/>
        <v>#NUM!</v>
      </c>
      <c r="G48" s="4"/>
      <c r="H48" s="1">
        <f t="shared" si="25"/>
        <v>0</v>
      </c>
      <c r="I48" s="1">
        <f t="shared" si="26"/>
        <v>-4.1470000000000002</v>
      </c>
      <c r="J48" s="30">
        <v>4.1470000000000002</v>
      </c>
      <c r="K48" s="4" t="e">
        <f t="shared" si="27"/>
        <v>#NUM!</v>
      </c>
      <c r="L48" s="5">
        <f>SUMIFS(Measurements!$E:$E,Measurements!$B:$B,Table_Query_from_Venus2[[#This Row],[serial_id]],Measurements!$D:$D,"534",Measurements!$H:$H,'Removal Sheet'!S48)/100</f>
        <v>0</v>
      </c>
      <c r="M48" t="e">
        <f t="shared" si="28"/>
        <v>#NUM!</v>
      </c>
      <c r="N48" s="2" t="e">
        <f t="shared" si="29"/>
        <v>#NUM!</v>
      </c>
      <c r="O48" s="4" t="e">
        <f t="shared" si="30"/>
        <v>#NUM!</v>
      </c>
      <c r="P48" s="4" t="e">
        <f>0.9055*(-LOG10(Main!$H$2/100)/'Removal Sheet'!$N48)</f>
        <v>#NUM!</v>
      </c>
      <c r="Q48" s="7">
        <f>_xlfn.MAXIFS(Measurements!H:H,Measurements!C:C,TRIM(Table_Query_from_Venus2[[#This Row],[serial_id]]),Measurements!D:D,"119")</f>
        <v>0</v>
      </c>
      <c r="R48" s="7">
        <f>_xlfn.MAXIFS(Measurements!$H:$H,Measurements!$C:$C,TRIM(Table_Query_from_Venus2[[#This Row],[serial_id]]),Measurements!$D:$D,"432")</f>
        <v>0</v>
      </c>
      <c r="S48" s="7">
        <f>_xlfn.MAXIFS(Measurements!$H:$H,Measurements!$C:$C,TRIM(Table_Query_from_Venus2[[#This Row],[serial_id]]),Measurements!$D:$D,"534")</f>
        <v>0</v>
      </c>
    </row>
    <row r="49" spans="3:19" x14ac:dyDescent="0.25">
      <c r="C49" s="1">
        <f>SUMIFS(Measurements!$E:$E,Measurements!$B:$B,Table_Query_from_Venus2[[#This Row],[serial_id]],Measurements!D:D,119,Measurements!H:H,'Removal Sheet'!Q49)</f>
        <v>0</v>
      </c>
      <c r="D49">
        <f>SUMIFS(Measurements!$E:$E,Measurements!$B:$B,Table_Query_from_Venus2[[#This Row],[serial_id]],Measurements!$D:$D,"432",Measurements!$H:$H,'Removal Sheet'!R49)</f>
        <v>0</v>
      </c>
      <c r="E49" s="4" t="e">
        <f t="shared" si="7"/>
        <v>#NUM!</v>
      </c>
      <c r="F49" s="4" t="e">
        <f t="shared" si="24"/>
        <v>#NUM!</v>
      </c>
      <c r="G49" s="4"/>
      <c r="H49" s="1">
        <f t="shared" si="25"/>
        <v>0</v>
      </c>
      <c r="I49" s="1">
        <f t="shared" si="26"/>
        <v>-4.1470000000000002</v>
      </c>
      <c r="J49" s="30">
        <v>4.1470000000000002</v>
      </c>
      <c r="K49" s="4" t="e">
        <f t="shared" si="27"/>
        <v>#NUM!</v>
      </c>
      <c r="L49" s="5">
        <f>SUMIFS(Measurements!$E:$E,Measurements!$B:$B,Table_Query_from_Venus2[[#This Row],[serial_id]],Measurements!$D:$D,"534",Measurements!$H:$H,'Removal Sheet'!S49)/100</f>
        <v>0</v>
      </c>
      <c r="M49" t="e">
        <f t="shared" si="28"/>
        <v>#NUM!</v>
      </c>
      <c r="N49" s="2" t="e">
        <f t="shared" si="29"/>
        <v>#NUM!</v>
      </c>
      <c r="O49" s="4" t="e">
        <f t="shared" si="30"/>
        <v>#NUM!</v>
      </c>
      <c r="P49" s="4" t="e">
        <f>0.9055*(-LOG10(Main!$H$2/100)/'Removal Sheet'!$N49)</f>
        <v>#NUM!</v>
      </c>
      <c r="Q49" s="7">
        <f>_xlfn.MAXIFS(Measurements!H:H,Measurements!C:C,TRIM(Table_Query_from_Venus2[[#This Row],[serial_id]]),Measurements!D:D,"119")</f>
        <v>0</v>
      </c>
      <c r="R49" s="7">
        <f>_xlfn.MAXIFS(Measurements!$H:$H,Measurements!$C:$C,TRIM(Table_Query_from_Venus2[[#This Row],[serial_id]]),Measurements!$D:$D,"432")</f>
        <v>0</v>
      </c>
      <c r="S49" s="7">
        <f>_xlfn.MAXIFS(Measurements!$H:$H,Measurements!$C:$C,TRIM(Table_Query_from_Venus2[[#This Row],[serial_id]]),Measurements!$D:$D,"534")</f>
        <v>0</v>
      </c>
    </row>
    <row r="50" spans="3:19" x14ac:dyDescent="0.25">
      <c r="C50" s="1">
        <f>SUMIFS(Measurements!$E:$E,Measurements!$B:$B,Table_Query_from_Venus2[[#This Row],[serial_id]],Measurements!D:D,119,Measurements!H:H,'Removal Sheet'!Q50)</f>
        <v>0</v>
      </c>
      <c r="D50">
        <f>SUMIFS(Measurements!$E:$E,Measurements!$B:$B,Table_Query_from_Venus2[[#This Row],[serial_id]],Measurements!$D:$D,"432",Measurements!$H:$H,'Removal Sheet'!R50)</f>
        <v>0</v>
      </c>
      <c r="E50" s="4" t="e">
        <f t="shared" si="7"/>
        <v>#NUM!</v>
      </c>
      <c r="F50" s="4" t="e">
        <f t="shared" si="24"/>
        <v>#NUM!</v>
      </c>
      <c r="G50" s="4"/>
      <c r="H50" s="1">
        <f t="shared" si="25"/>
        <v>0</v>
      </c>
      <c r="I50" s="1">
        <f t="shared" si="26"/>
        <v>-4.1470000000000002</v>
      </c>
      <c r="J50" s="30">
        <v>4.1470000000000002</v>
      </c>
      <c r="K50" s="4" t="e">
        <f t="shared" si="27"/>
        <v>#NUM!</v>
      </c>
      <c r="L50" s="5">
        <f>SUMIFS(Measurements!$E:$E,Measurements!$B:$B,Table_Query_from_Venus2[[#This Row],[serial_id]],Measurements!$D:$D,"534",Measurements!$H:$H,'Removal Sheet'!S50)/100</f>
        <v>0</v>
      </c>
      <c r="M50" t="e">
        <f t="shared" si="28"/>
        <v>#NUM!</v>
      </c>
      <c r="N50" s="2" t="e">
        <f t="shared" si="29"/>
        <v>#NUM!</v>
      </c>
      <c r="O50" s="4" t="e">
        <f t="shared" si="30"/>
        <v>#NUM!</v>
      </c>
      <c r="P50" s="4" t="e">
        <f>0.9055*(-LOG10(Main!$H$2/100)/'Removal Sheet'!$N50)</f>
        <v>#NUM!</v>
      </c>
      <c r="Q50" s="7">
        <f>_xlfn.MAXIFS(Measurements!H:H,Measurements!C:C,TRIM(Table_Query_from_Venus2[[#This Row],[serial_id]]),Measurements!D:D,"119")</f>
        <v>0</v>
      </c>
      <c r="R50" s="7">
        <f>_xlfn.MAXIFS(Measurements!$H:$H,Measurements!$C:$C,TRIM(Table_Query_from_Venus2[[#This Row],[serial_id]]),Measurements!$D:$D,"432")</f>
        <v>0</v>
      </c>
      <c r="S50" s="7">
        <f>_xlfn.MAXIFS(Measurements!$H:$H,Measurements!$C:$C,TRIM(Table_Query_from_Venus2[[#This Row],[serial_id]]),Measurements!$D:$D,"534")</f>
        <v>0</v>
      </c>
    </row>
    <row r="51" spans="3:19" x14ac:dyDescent="0.25">
      <c r="C51" s="1">
        <f>SUMIFS(Measurements!$E:$E,Measurements!$B:$B,Table_Query_from_Venus2[[#This Row],[serial_id]],Measurements!D:D,119,Measurements!H:H,'Removal Sheet'!Q51)</f>
        <v>0</v>
      </c>
      <c r="D51">
        <f>SUMIFS(Measurements!$E:$E,Measurements!$B:$B,Table_Query_from_Venus2[[#This Row],[serial_id]],Measurements!$D:$D,"432",Measurements!$H:$H,'Removal Sheet'!R51)</f>
        <v>0</v>
      </c>
      <c r="E51" s="4" t="e">
        <f t="shared" si="7"/>
        <v>#NUM!</v>
      </c>
      <c r="F51" s="4" t="e">
        <f t="shared" si="24"/>
        <v>#NUM!</v>
      </c>
      <c r="G51" s="4"/>
      <c r="H51" s="1">
        <f t="shared" si="25"/>
        <v>0</v>
      </c>
      <c r="I51" s="1">
        <f t="shared" si="26"/>
        <v>-4.1470000000000002</v>
      </c>
      <c r="J51" s="30">
        <v>4.1470000000000002</v>
      </c>
      <c r="K51" s="4" t="e">
        <f t="shared" si="27"/>
        <v>#NUM!</v>
      </c>
      <c r="L51" s="5">
        <f>SUMIFS(Measurements!$E:$E,Measurements!$B:$B,Table_Query_from_Venus2[[#This Row],[serial_id]],Measurements!$D:$D,"534",Measurements!$H:$H,'Removal Sheet'!S51)/100</f>
        <v>0</v>
      </c>
      <c r="M51" t="e">
        <f t="shared" si="28"/>
        <v>#NUM!</v>
      </c>
      <c r="N51" s="2" t="e">
        <f t="shared" si="29"/>
        <v>#NUM!</v>
      </c>
      <c r="O51" s="4" t="e">
        <f t="shared" si="30"/>
        <v>#NUM!</v>
      </c>
      <c r="P51" s="4" t="e">
        <f>0.9055*(-LOG10(Main!$H$2/100)/'Removal Sheet'!$N51)</f>
        <v>#NUM!</v>
      </c>
      <c r="Q51" s="7">
        <f>_xlfn.MAXIFS(Measurements!H:H,Measurements!C:C,TRIM(Table_Query_from_Venus2[[#This Row],[serial_id]]),Measurements!D:D,"119")</f>
        <v>0</v>
      </c>
      <c r="R51" s="7">
        <f>_xlfn.MAXIFS(Measurements!$H:$H,Measurements!$C:$C,TRIM(Table_Query_from_Venus2[[#This Row],[serial_id]]),Measurements!$D:$D,"432")</f>
        <v>0</v>
      </c>
      <c r="S51" s="7">
        <f>_xlfn.MAXIFS(Measurements!$H:$H,Measurements!$C:$C,TRIM(Table_Query_from_Venus2[[#This Row],[serial_id]]),Measurements!$D:$D,"534")</f>
        <v>0</v>
      </c>
    </row>
    <row r="52" spans="3:19" x14ac:dyDescent="0.25">
      <c r="C52" s="1">
        <f>SUMIFS(Measurements!$E:$E,Measurements!$B:$B,Table_Query_from_Venus2[[#This Row],[serial_id]],Measurements!D:D,119,Measurements!H:H,'Removal Sheet'!Q52)</f>
        <v>0</v>
      </c>
      <c r="D52">
        <f>SUMIFS(Measurements!$E:$E,Measurements!$B:$B,Table_Query_from_Venus2[[#This Row],[serial_id]],Measurements!$D:$D,"432",Measurements!$H:$H,'Removal Sheet'!R52)</f>
        <v>0</v>
      </c>
      <c r="E52" s="4" t="e">
        <f t="shared" si="7"/>
        <v>#NUM!</v>
      </c>
      <c r="F52" s="4" t="e">
        <f t="shared" si="24"/>
        <v>#NUM!</v>
      </c>
      <c r="G52" s="4"/>
      <c r="H52" s="1">
        <f t="shared" si="25"/>
        <v>0</v>
      </c>
      <c r="I52" s="1">
        <f t="shared" si="26"/>
        <v>-4.1470000000000002</v>
      </c>
      <c r="J52" s="30">
        <v>4.1470000000000002</v>
      </c>
      <c r="K52" s="4" t="e">
        <f t="shared" si="27"/>
        <v>#NUM!</v>
      </c>
      <c r="L52" s="5">
        <f>SUMIFS(Measurements!$E:$E,Measurements!$B:$B,Table_Query_from_Venus2[[#This Row],[serial_id]],Measurements!$D:$D,"534",Measurements!$H:$H,'Removal Sheet'!S52)/100</f>
        <v>0</v>
      </c>
      <c r="M52" t="e">
        <f t="shared" si="28"/>
        <v>#NUM!</v>
      </c>
      <c r="N52" s="2" t="e">
        <f t="shared" si="29"/>
        <v>#NUM!</v>
      </c>
      <c r="O52" s="4" t="e">
        <f t="shared" si="30"/>
        <v>#NUM!</v>
      </c>
      <c r="P52" s="4" t="e">
        <f>0.9055*(-LOG10(Main!$H$2/100)/'Removal Sheet'!$N52)</f>
        <v>#NUM!</v>
      </c>
      <c r="Q52" s="7">
        <f>_xlfn.MAXIFS(Measurements!H:H,Measurements!C:C,TRIM(Table_Query_from_Venus2[[#This Row],[serial_id]]),Measurements!D:D,"119")</f>
        <v>0</v>
      </c>
      <c r="R52" s="7">
        <f>_xlfn.MAXIFS(Measurements!$H:$H,Measurements!$C:$C,TRIM(Table_Query_from_Venus2[[#This Row],[serial_id]]),Measurements!$D:$D,"432")</f>
        <v>0</v>
      </c>
      <c r="S52" s="7">
        <f>_xlfn.MAXIFS(Measurements!$H:$H,Measurements!$C:$C,TRIM(Table_Query_from_Venus2[[#This Row],[serial_id]]),Measurements!$D:$D,"534")</f>
        <v>0</v>
      </c>
    </row>
    <row r="53" spans="3:19" x14ac:dyDescent="0.25">
      <c r="C53" s="1">
        <f>SUMIFS(Measurements!$E:$E,Measurements!$B:$B,Table_Query_from_Venus2[[#This Row],[serial_id]],Measurements!D:D,119,Measurements!H:H,'Removal Sheet'!Q53)</f>
        <v>0</v>
      </c>
      <c r="D53">
        <f>SUMIFS(Measurements!$E:$E,Measurements!$B:$B,Table_Query_from_Venus2[[#This Row],[serial_id]],Measurements!$D:$D,"432",Measurements!$H:$H,'Removal Sheet'!R53)</f>
        <v>0</v>
      </c>
      <c r="E53" s="4" t="e">
        <f t="shared" si="7"/>
        <v>#NUM!</v>
      </c>
      <c r="F53" s="4" t="e">
        <f t="shared" si="24"/>
        <v>#NUM!</v>
      </c>
      <c r="G53" s="4"/>
      <c r="H53" s="1">
        <f t="shared" si="25"/>
        <v>0</v>
      </c>
      <c r="I53" s="1">
        <f t="shared" si="26"/>
        <v>-4.1470000000000002</v>
      </c>
      <c r="J53" s="30">
        <v>4.1470000000000002</v>
      </c>
      <c r="K53" s="4" t="e">
        <f t="shared" si="27"/>
        <v>#NUM!</v>
      </c>
      <c r="L53" s="5">
        <f>SUMIFS(Measurements!$E:$E,Measurements!$B:$B,Table_Query_from_Venus2[[#This Row],[serial_id]],Measurements!$D:$D,"534",Measurements!$H:$H,'Removal Sheet'!S53)/100</f>
        <v>0</v>
      </c>
      <c r="M53" t="e">
        <f t="shared" si="28"/>
        <v>#NUM!</v>
      </c>
      <c r="N53" s="2" t="e">
        <f t="shared" si="29"/>
        <v>#NUM!</v>
      </c>
      <c r="O53" s="4" t="e">
        <f t="shared" si="30"/>
        <v>#NUM!</v>
      </c>
      <c r="P53" s="4" t="e">
        <f>0.9055*(-LOG10(Main!$H$2/100)/'Removal Sheet'!$N53)</f>
        <v>#NUM!</v>
      </c>
      <c r="Q53" s="7">
        <f>_xlfn.MAXIFS(Measurements!H:H,Measurements!C:C,TRIM(Table_Query_from_Venus2[[#This Row],[serial_id]]),Measurements!D:D,"119")</f>
        <v>0</v>
      </c>
      <c r="R53" s="7">
        <f>_xlfn.MAXIFS(Measurements!$H:$H,Measurements!$C:$C,TRIM(Table_Query_from_Venus2[[#This Row],[serial_id]]),Measurements!$D:$D,"432")</f>
        <v>0</v>
      </c>
      <c r="S53" s="7">
        <f>_xlfn.MAXIFS(Measurements!$H:$H,Measurements!$C:$C,TRIM(Table_Query_from_Venus2[[#This Row],[serial_id]]),Measurements!$D:$D,"534")</f>
        <v>0</v>
      </c>
    </row>
    <row r="54" spans="3:19" x14ac:dyDescent="0.25">
      <c r="C54" s="1"/>
      <c r="E54" s="4"/>
      <c r="F54" s="4"/>
      <c r="G54" s="4"/>
      <c r="H54" s="1"/>
      <c r="I54" s="1"/>
      <c r="J54" s="1"/>
      <c r="K54" s="4"/>
      <c r="L54" s="5"/>
      <c r="N54" s="2"/>
      <c r="O54" s="4"/>
      <c r="P54" s="4"/>
      <c r="Q54" s="7"/>
      <c r="R54" s="7"/>
      <c r="S54" s="7"/>
    </row>
    <row r="55" spans="3:19" x14ac:dyDescent="0.25">
      <c r="C55" s="1"/>
      <c r="E55" s="4"/>
      <c r="F55" s="4"/>
      <c r="G55" s="4"/>
      <c r="H55" s="1"/>
      <c r="I55" s="1"/>
      <c r="J55" s="1"/>
      <c r="K55" s="4"/>
      <c r="L55" s="5"/>
      <c r="N55" s="2"/>
      <c r="O55" s="4"/>
      <c r="P55" s="4"/>
      <c r="Q55" s="7"/>
      <c r="R55" s="7"/>
      <c r="S55" s="7"/>
    </row>
  </sheetData>
  <sortState xmlns:xlrd2="http://schemas.microsoft.com/office/spreadsheetml/2017/richdata2" ref="C2:S34">
    <sortCondition descending="1" ref="C1:C34"/>
  </sortState>
  <pageMargins left="0.7" right="0.7" top="0.75" bottom="0.75" header="0.3" footer="0.3"/>
  <pageSetup scale="53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3F8D-B03E-47F8-A94F-628F79E41DAA}">
  <sheetPr codeName="Sheet4">
    <pageSetUpPr fitToPage="1"/>
  </sheetPr>
  <dimension ref="A1:S60"/>
  <sheetViews>
    <sheetView tabSelected="1" zoomScale="110" zoomScaleNormal="110" workbookViewId="0">
      <selection activeCell="M8" sqref="M8"/>
    </sheetView>
  </sheetViews>
  <sheetFormatPr defaultRowHeight="15" x14ac:dyDescent="0.25"/>
  <cols>
    <col min="1" max="1" width="12.85546875" bestFit="1" customWidth="1"/>
    <col min="2" max="2" width="13.28515625" customWidth="1"/>
    <col min="3" max="3" width="10" customWidth="1"/>
    <col min="4" max="4" width="13.28515625" bestFit="1" customWidth="1"/>
    <col min="5" max="5" width="11.85546875" style="13" customWidth="1"/>
    <col min="6" max="6" width="11.5703125" bestFit="1" customWidth="1"/>
    <col min="7" max="7" width="10.7109375" customWidth="1"/>
    <col min="8" max="8" width="11.140625" customWidth="1"/>
    <col min="9" max="9" width="13.42578125" customWidth="1"/>
    <col min="10" max="10" width="16.7109375" customWidth="1"/>
    <col min="15" max="15" width="8" bestFit="1" customWidth="1"/>
    <col min="16" max="16" width="14" bestFit="1" customWidth="1"/>
    <col min="18" max="18" width="15" bestFit="1" customWidth="1"/>
  </cols>
  <sheetData>
    <row r="1" spans="1:18" x14ac:dyDescent="0.25">
      <c r="E1"/>
    </row>
    <row r="2" spans="1:18" x14ac:dyDescent="0.25">
      <c r="E2"/>
    </row>
    <row r="3" spans="1:18" x14ac:dyDescent="0.25">
      <c r="E3"/>
      <c r="I3" s="14"/>
      <c r="J3" s="14"/>
    </row>
    <row r="4" spans="1:18" ht="20.25" customHeight="1" x14ac:dyDescent="0.35">
      <c r="A4" s="38" t="str">
        <f>_xlfn.CONCAT("PO ") &amp; Calculations!B1</f>
        <v>PO 197224</v>
      </c>
      <c r="B4" s="39"/>
      <c r="C4" s="39"/>
      <c r="D4" s="39"/>
      <c r="E4" s="39"/>
      <c r="F4" s="39"/>
      <c r="G4" s="39"/>
      <c r="H4" s="39"/>
      <c r="I4" s="36" t="str">
        <f>_xlfn.CONCAT("Part # - " &amp;Calculations!E2)</f>
        <v>Part # - B481-096</v>
      </c>
      <c r="J4" s="37"/>
    </row>
    <row r="5" spans="1:18" ht="20.25" customHeight="1" x14ac:dyDescent="0.35">
      <c r="A5" s="40"/>
      <c r="B5" s="41"/>
      <c r="C5" s="41"/>
      <c r="D5" s="41"/>
      <c r="E5" s="41"/>
      <c r="F5" s="41"/>
      <c r="G5" s="41"/>
      <c r="H5" s="41"/>
      <c r="I5" s="21" t="str">
        <f>_xlfn.CONCAT("Rev. " &amp; Calculations!F2)</f>
        <v>Rev. A</v>
      </c>
      <c r="J5" s="20" t="str">
        <f>_xlfn.CONCAT("QTY = "&amp;COUNTA(A8:A1001))</f>
        <v>QTY = 1</v>
      </c>
    </row>
    <row r="6" spans="1:18" ht="30" customHeight="1" x14ac:dyDescent="0.35">
      <c r="A6" s="42" t="str">
        <f>IF(ISBLANK(Main!H3)," ",Main!H3)</f>
        <v xml:space="preserve"> </v>
      </c>
      <c r="B6" s="43"/>
      <c r="C6" s="43"/>
      <c r="D6" s="43"/>
      <c r="E6" s="43"/>
      <c r="F6" s="43"/>
      <c r="G6" s="43"/>
      <c r="H6" s="44"/>
      <c r="I6" s="34" t="str">
        <f>_xlfn.CONCAT("%T Spec = " &amp; Calculations!H2 &amp; " - " &amp; Calculations!I2)</f>
        <v>%T Spec = 18.5 - 21.5</v>
      </c>
      <c r="J6" s="35"/>
    </row>
    <row r="7" spans="1:18" ht="21" customHeight="1" x14ac:dyDescent="0.35">
      <c r="A7" s="45"/>
      <c r="B7" s="46"/>
      <c r="C7" s="46"/>
      <c r="D7" s="46"/>
      <c r="E7" s="46"/>
      <c r="F7" s="46"/>
      <c r="G7" s="46"/>
      <c r="H7" s="47"/>
      <c r="I7" s="34" t="str">
        <f>_xlfn.CONCAT("%T Target = " &amp; Main!$H$2)</f>
        <v>%T Target = 19</v>
      </c>
      <c r="J7" s="35"/>
    </row>
    <row r="8" spans="1:18" ht="30" x14ac:dyDescent="0.25">
      <c r="A8" s="23" t="s">
        <v>31</v>
      </c>
      <c r="B8" s="23" t="s">
        <v>17</v>
      </c>
      <c r="C8" s="23" t="s">
        <v>15</v>
      </c>
      <c r="D8" s="24" t="s">
        <v>14</v>
      </c>
      <c r="E8" s="25" t="s">
        <v>32</v>
      </c>
      <c r="F8" s="23" t="s">
        <v>24</v>
      </c>
      <c r="G8" s="24" t="s">
        <v>16</v>
      </c>
      <c r="H8" s="26" t="s">
        <v>26</v>
      </c>
      <c r="I8" s="27" t="s">
        <v>25</v>
      </c>
      <c r="J8" s="24" t="s">
        <v>27</v>
      </c>
    </row>
    <row r="9" spans="1:18" x14ac:dyDescent="0.25">
      <c r="K9" s="1"/>
      <c r="L9" s="1"/>
      <c r="M9" s="1"/>
    </row>
    <row r="10" spans="1:18" x14ac:dyDescent="0.25">
      <c r="A10" s="1"/>
      <c r="B10" s="4"/>
      <c r="C10" s="4"/>
      <c r="D10" s="15"/>
      <c r="E10" s="17"/>
      <c r="F10" s="1"/>
      <c r="G10" s="15"/>
      <c r="H10" s="15"/>
      <c r="I10" s="15"/>
      <c r="J10" s="15"/>
      <c r="K10" s="1"/>
      <c r="L10" s="1"/>
      <c r="M10" s="1"/>
    </row>
    <row r="11" spans="1:18" x14ac:dyDescent="0.25">
      <c r="A11" s="1"/>
      <c r="B11" s="1"/>
      <c r="C11" s="1"/>
      <c r="D11" s="15"/>
      <c r="E11" s="17"/>
      <c r="F11" s="1"/>
      <c r="G11" s="15"/>
      <c r="H11" s="15"/>
      <c r="I11" s="1"/>
      <c r="J11" s="15"/>
      <c r="K11" s="1"/>
      <c r="L11" s="1"/>
      <c r="M11" s="1"/>
      <c r="N11" s="8"/>
      <c r="O11" s="8"/>
    </row>
    <row r="12" spans="1:18" x14ac:dyDescent="0.25">
      <c r="A12" s="1"/>
      <c r="B12" s="4"/>
      <c r="C12" s="4"/>
      <c r="D12" s="15"/>
      <c r="E12" s="17"/>
      <c r="F12" s="1"/>
      <c r="G12" s="15"/>
      <c r="H12" s="15"/>
      <c r="I12" s="15"/>
      <c r="J12" s="15"/>
      <c r="K12" s="1"/>
      <c r="L12" s="1"/>
      <c r="M12" s="1"/>
      <c r="N12" s="1"/>
      <c r="O12" s="1"/>
      <c r="Q12" s="9"/>
    </row>
    <row r="13" spans="1:18" x14ac:dyDescent="0.25">
      <c r="A13" s="1"/>
      <c r="B13" s="4"/>
      <c r="C13" s="4"/>
      <c r="D13" s="15"/>
      <c r="E13" s="17"/>
      <c r="F13" s="1"/>
      <c r="G13" s="15"/>
      <c r="H13" s="15"/>
      <c r="I13" s="15"/>
      <c r="J13" s="15"/>
      <c r="K13" s="1"/>
      <c r="L13" s="1"/>
      <c r="M13" s="1"/>
      <c r="N13" s="1"/>
      <c r="O13" s="1"/>
      <c r="Q13" s="9"/>
      <c r="R13" s="10"/>
    </row>
    <row r="14" spans="1:18" x14ac:dyDescent="0.25">
      <c r="A14" s="1"/>
      <c r="B14" s="4"/>
      <c r="C14" s="4"/>
      <c r="D14" s="15"/>
      <c r="E14" s="17"/>
      <c r="F14" s="1"/>
      <c r="G14" s="15"/>
      <c r="H14" s="15"/>
      <c r="I14" s="15"/>
      <c r="J14" s="15"/>
      <c r="K14" s="1"/>
      <c r="L14" s="1"/>
      <c r="M14" s="1"/>
    </row>
    <row r="15" spans="1:18" x14ac:dyDescent="0.25">
      <c r="A15" s="11"/>
      <c r="B15" s="28"/>
      <c r="C15" s="28"/>
      <c r="D15" s="12"/>
      <c r="E15" s="16"/>
      <c r="F15" s="11"/>
      <c r="G15" s="12"/>
      <c r="H15" s="19"/>
      <c r="I15" s="15"/>
      <c r="J15" s="12"/>
      <c r="K15" s="1"/>
      <c r="L15" s="1"/>
      <c r="M15" s="1"/>
    </row>
    <row r="16" spans="1:18" x14ac:dyDescent="0.25">
      <c r="A16" s="1"/>
      <c r="B16" s="4"/>
      <c r="C16" s="4"/>
      <c r="D16" s="15"/>
      <c r="E16" s="17"/>
      <c r="F16" s="1"/>
      <c r="G16" s="15"/>
      <c r="H16" s="15"/>
      <c r="I16" s="15"/>
      <c r="J16" s="15"/>
      <c r="K16" s="1"/>
      <c r="L16" s="1"/>
      <c r="M16" s="1"/>
    </row>
    <row r="17" spans="1:19" x14ac:dyDescent="0.25">
      <c r="A17" s="1"/>
      <c r="B17" s="4"/>
      <c r="C17" s="4"/>
      <c r="D17" s="15"/>
      <c r="E17" s="17"/>
      <c r="F17" s="1"/>
      <c r="G17" s="15"/>
      <c r="H17" s="15"/>
      <c r="I17" s="15"/>
      <c r="J17" s="15"/>
      <c r="K17" s="1"/>
      <c r="L17" s="1"/>
      <c r="M17" s="1"/>
    </row>
    <row r="18" spans="1:19" x14ac:dyDescent="0.25">
      <c r="A18" s="11"/>
      <c r="B18" s="28"/>
      <c r="C18" s="28"/>
      <c r="D18" s="12"/>
      <c r="E18" s="16"/>
      <c r="F18" s="11"/>
      <c r="G18" s="12"/>
      <c r="H18" s="19"/>
      <c r="I18" s="29"/>
      <c r="J18" s="12"/>
      <c r="K18" s="1"/>
      <c r="L18" s="1"/>
      <c r="M18" s="1"/>
    </row>
    <row r="19" spans="1:19" x14ac:dyDescent="0.25">
      <c r="A19" s="1"/>
      <c r="B19" s="4"/>
      <c r="C19" s="4"/>
      <c r="D19" s="15"/>
      <c r="E19" s="17"/>
      <c r="F19" s="1"/>
      <c r="G19" s="15"/>
      <c r="H19" s="15"/>
      <c r="I19" s="15"/>
      <c r="J19" s="15"/>
      <c r="K19" s="1"/>
      <c r="L19" s="1"/>
      <c r="M19" s="1"/>
      <c r="P19" s="8"/>
      <c r="Q19" s="8"/>
      <c r="R19" s="8"/>
    </row>
    <row r="20" spans="1:19" x14ac:dyDescent="0.25">
      <c r="A20" s="1"/>
      <c r="B20" s="4"/>
      <c r="C20" s="4"/>
      <c r="D20" s="15"/>
      <c r="E20" s="17"/>
      <c r="F20" s="1"/>
      <c r="G20" s="15"/>
      <c r="H20" s="15"/>
      <c r="I20" s="15"/>
      <c r="J20" s="15"/>
      <c r="K20" s="1"/>
      <c r="L20" s="1"/>
      <c r="M20" s="1"/>
      <c r="O20" s="8"/>
      <c r="P20" s="8"/>
      <c r="Q20" s="8"/>
      <c r="R20" s="8"/>
      <c r="S20" s="1"/>
    </row>
    <row r="21" spans="1:19" x14ac:dyDescent="0.25">
      <c r="A21" s="1"/>
      <c r="B21" s="4"/>
      <c r="C21" s="4"/>
      <c r="D21" s="15"/>
      <c r="E21" s="17"/>
      <c r="F21" s="1"/>
      <c r="G21" s="15"/>
      <c r="H21" s="15"/>
      <c r="I21" s="15"/>
      <c r="J21" s="15"/>
      <c r="P21" s="1"/>
      <c r="Q21" s="1"/>
      <c r="R21" s="1"/>
      <c r="S21" s="1"/>
    </row>
    <row r="22" spans="1:19" x14ac:dyDescent="0.25">
      <c r="A22" s="1"/>
      <c r="B22" s="4"/>
      <c r="C22" s="4"/>
      <c r="D22" s="15"/>
      <c r="E22" s="17"/>
      <c r="F22" s="1"/>
      <c r="G22" s="15"/>
      <c r="H22" s="15"/>
      <c r="I22" s="15"/>
      <c r="J22" s="15"/>
    </row>
    <row r="23" spans="1:19" x14ac:dyDescent="0.25">
      <c r="A23" s="1"/>
      <c r="B23" s="4"/>
      <c r="C23" s="4"/>
      <c r="D23" s="15"/>
      <c r="E23" s="17"/>
      <c r="F23" s="5"/>
      <c r="G23" s="15"/>
      <c r="H23" s="18"/>
      <c r="I23" s="15"/>
      <c r="J23" s="15"/>
    </row>
    <row r="24" spans="1:19" x14ac:dyDescent="0.25">
      <c r="A24" s="1"/>
      <c r="B24" s="4"/>
      <c r="C24" s="4"/>
      <c r="D24" s="15"/>
      <c r="E24" s="17"/>
      <c r="F24" s="1"/>
      <c r="G24" s="15"/>
      <c r="H24" s="15"/>
      <c r="I24" s="15"/>
      <c r="J24" s="15"/>
    </row>
    <row r="25" spans="1:19" x14ac:dyDescent="0.25">
      <c r="A25" s="11"/>
      <c r="B25" s="28"/>
      <c r="C25" s="28"/>
      <c r="D25" s="12"/>
      <c r="E25" s="16"/>
      <c r="F25" s="11"/>
      <c r="G25" s="12"/>
      <c r="H25" s="19"/>
      <c r="I25" s="15"/>
      <c r="J25" s="12"/>
    </row>
    <row r="26" spans="1:19" x14ac:dyDescent="0.25">
      <c r="A26" s="1"/>
      <c r="B26" s="4"/>
      <c r="C26" s="4"/>
      <c r="D26" s="15"/>
      <c r="E26" s="17"/>
      <c r="F26" s="1"/>
      <c r="G26" s="15"/>
      <c r="H26" s="15"/>
      <c r="I26" s="15"/>
      <c r="J26" s="15"/>
    </row>
    <row r="27" spans="1:19" x14ac:dyDescent="0.25">
      <c r="A27" s="1"/>
      <c r="B27" s="4"/>
      <c r="C27" s="4"/>
      <c r="D27" s="15"/>
      <c r="E27" s="17"/>
      <c r="F27" s="1"/>
      <c r="G27" s="15"/>
      <c r="H27" s="15"/>
      <c r="I27" s="15"/>
      <c r="J27" s="15"/>
    </row>
    <row r="28" spans="1:19" x14ac:dyDescent="0.25">
      <c r="A28" s="1"/>
      <c r="B28" s="4"/>
      <c r="C28" s="4"/>
      <c r="D28" s="15"/>
      <c r="E28" s="17"/>
      <c r="F28" s="1"/>
      <c r="G28" s="15"/>
      <c r="H28" s="15"/>
      <c r="I28" s="15"/>
      <c r="J28" s="15"/>
    </row>
    <row r="29" spans="1:19" x14ac:dyDescent="0.25">
      <c r="A29" s="1"/>
      <c r="B29" s="4"/>
      <c r="C29" s="4"/>
      <c r="D29" s="15"/>
      <c r="E29" s="17"/>
      <c r="F29" s="1"/>
      <c r="G29" s="15"/>
      <c r="H29" s="15"/>
      <c r="I29" s="15"/>
      <c r="J29" s="15"/>
    </row>
    <row r="30" spans="1:19" x14ac:dyDescent="0.25">
      <c r="A30" s="1"/>
      <c r="B30" s="4"/>
      <c r="C30" s="4"/>
      <c r="D30" s="15"/>
      <c r="E30" s="17"/>
      <c r="F30" s="15"/>
      <c r="G30" s="15"/>
      <c r="H30" s="15"/>
      <c r="I30" s="15"/>
      <c r="J30" s="15"/>
    </row>
    <row r="31" spans="1:19" x14ac:dyDescent="0.25">
      <c r="A31" s="1"/>
      <c r="B31" s="4"/>
      <c r="C31" s="4"/>
      <c r="D31" s="15"/>
      <c r="E31" s="17"/>
      <c r="F31" s="1"/>
      <c r="G31" s="15"/>
      <c r="H31" s="15"/>
      <c r="I31" s="15"/>
      <c r="J31" s="15"/>
    </row>
    <row r="32" spans="1:19" x14ac:dyDescent="0.25">
      <c r="A32" s="1"/>
      <c r="B32" s="4"/>
      <c r="C32" s="4"/>
      <c r="D32" s="15"/>
      <c r="E32" s="17"/>
      <c r="F32" s="1"/>
      <c r="G32" s="15"/>
      <c r="H32" s="15"/>
      <c r="I32" s="15"/>
      <c r="J32" s="15"/>
    </row>
    <row r="33" spans="1:10" x14ac:dyDescent="0.25">
      <c r="A33" s="1"/>
      <c r="B33" s="4"/>
      <c r="C33" s="4"/>
      <c r="D33" s="15"/>
      <c r="E33" s="17"/>
      <c r="F33" s="15"/>
      <c r="G33" s="15"/>
      <c r="H33" s="15"/>
      <c r="I33" s="15"/>
      <c r="J33" s="15"/>
    </row>
    <row r="34" spans="1:10" x14ac:dyDescent="0.25">
      <c r="A34" s="1"/>
      <c r="B34" s="4"/>
      <c r="C34" s="4"/>
      <c r="D34" s="15"/>
      <c r="E34" s="17"/>
      <c r="F34" s="1"/>
      <c r="G34" s="15"/>
      <c r="H34" s="15"/>
      <c r="I34" s="15"/>
      <c r="J34" s="15"/>
    </row>
    <row r="35" spans="1:10" x14ac:dyDescent="0.25">
      <c r="A35" s="1"/>
      <c r="B35" s="4"/>
      <c r="C35" s="4"/>
      <c r="D35" s="15"/>
      <c r="E35" s="17"/>
      <c r="F35" s="5"/>
      <c r="G35" s="15"/>
      <c r="H35" s="18"/>
      <c r="I35" s="15"/>
      <c r="J35" s="15"/>
    </row>
    <row r="36" spans="1:10" x14ac:dyDescent="0.25">
      <c r="A36" s="11"/>
      <c r="B36" s="28"/>
      <c r="C36" s="28"/>
      <c r="D36" s="12"/>
      <c r="E36" s="16"/>
      <c r="F36" s="11"/>
      <c r="G36" s="12"/>
      <c r="H36" s="19"/>
      <c r="I36" s="15"/>
      <c r="J36" s="12"/>
    </row>
    <row r="37" spans="1:10" x14ac:dyDescent="0.25">
      <c r="A37" s="1"/>
      <c r="B37" s="4"/>
      <c r="C37" s="4"/>
      <c r="D37" s="15"/>
      <c r="E37" s="17"/>
      <c r="F37" s="1"/>
      <c r="G37" s="15"/>
      <c r="H37" s="15"/>
      <c r="I37" s="15"/>
      <c r="J37" s="15"/>
    </row>
    <row r="38" spans="1:10" x14ac:dyDescent="0.25">
      <c r="A38" s="1"/>
      <c r="B38" s="4"/>
      <c r="C38" s="4"/>
      <c r="D38" s="15"/>
      <c r="E38" s="17"/>
      <c r="F38" s="1"/>
      <c r="G38" s="15"/>
      <c r="H38" s="15"/>
      <c r="I38" s="15"/>
      <c r="J38" s="15"/>
    </row>
    <row r="39" spans="1:10" x14ac:dyDescent="0.25">
      <c r="A39" s="1"/>
      <c r="B39" s="4"/>
      <c r="C39" s="4"/>
      <c r="D39" s="15"/>
      <c r="E39" s="17"/>
      <c r="F39" s="1"/>
      <c r="G39" s="15"/>
      <c r="H39" s="15"/>
      <c r="I39" s="15"/>
      <c r="J39" s="15"/>
    </row>
    <row r="40" spans="1:10" x14ac:dyDescent="0.25">
      <c r="A40" s="11"/>
      <c r="B40" s="28"/>
      <c r="C40" s="28"/>
      <c r="D40" s="12"/>
      <c r="E40" s="16"/>
      <c r="F40" s="11"/>
      <c r="G40" s="12"/>
      <c r="H40" s="19"/>
      <c r="I40" s="29"/>
      <c r="J40" s="12"/>
    </row>
    <row r="41" spans="1:10" x14ac:dyDescent="0.25">
      <c r="A41" s="11"/>
      <c r="B41" s="28"/>
      <c r="C41" s="28"/>
      <c r="D41" s="12"/>
      <c r="E41" s="16"/>
      <c r="F41" s="11"/>
      <c r="G41" s="12"/>
      <c r="H41" s="19"/>
      <c r="I41" s="15"/>
      <c r="J41" s="12"/>
    </row>
    <row r="42" spans="1:10" x14ac:dyDescent="0.25">
      <c r="A42" s="1"/>
      <c r="B42" s="4"/>
      <c r="C42" s="4"/>
      <c r="D42" s="15"/>
      <c r="E42" s="17"/>
      <c r="F42" s="1"/>
      <c r="G42" s="15"/>
      <c r="H42" s="15"/>
      <c r="I42" s="15"/>
      <c r="J42" s="15"/>
    </row>
    <row r="43" spans="1:10" x14ac:dyDescent="0.25">
      <c r="A43" s="1"/>
      <c r="B43" s="4"/>
      <c r="C43" s="4"/>
      <c r="D43" s="15"/>
      <c r="E43" s="17"/>
      <c r="F43" s="1"/>
      <c r="G43" s="15"/>
      <c r="H43" s="15"/>
      <c r="I43" s="15"/>
      <c r="J43" s="15"/>
    </row>
    <row r="44" spans="1:10" x14ac:dyDescent="0.25">
      <c r="A44" s="11"/>
      <c r="B44" s="28"/>
      <c r="C44" s="28"/>
      <c r="D44" s="12"/>
      <c r="E44" s="16"/>
      <c r="F44" s="11"/>
      <c r="G44" s="12"/>
      <c r="H44" s="19"/>
      <c r="I44" s="15"/>
      <c r="J44" s="12"/>
    </row>
    <row r="45" spans="1:10" x14ac:dyDescent="0.25">
      <c r="A45" s="1"/>
      <c r="B45" s="4"/>
      <c r="C45" s="4"/>
      <c r="D45" s="15"/>
      <c r="E45" s="17"/>
      <c r="F45" s="1"/>
      <c r="G45" s="15"/>
      <c r="H45" s="15"/>
      <c r="I45" s="15"/>
      <c r="J45" s="15"/>
    </row>
    <row r="46" spans="1:10" x14ac:dyDescent="0.25">
      <c r="A46" s="1"/>
      <c r="B46" s="4"/>
      <c r="C46" s="4"/>
      <c r="D46" s="15"/>
      <c r="E46" s="17"/>
      <c r="F46" s="1"/>
      <c r="G46" s="15"/>
      <c r="H46" s="15"/>
      <c r="I46" s="15"/>
      <c r="J46" s="15"/>
    </row>
    <row r="47" spans="1:10" x14ac:dyDescent="0.25">
      <c r="A47" s="1"/>
      <c r="B47" s="4"/>
      <c r="C47" s="4"/>
      <c r="D47" s="15"/>
      <c r="E47" s="17"/>
      <c r="F47" s="1"/>
      <c r="G47" s="15"/>
      <c r="H47" s="15"/>
      <c r="I47" s="15"/>
      <c r="J47" s="15"/>
    </row>
    <row r="48" spans="1:10" x14ac:dyDescent="0.25">
      <c r="A48" s="1"/>
      <c r="B48" s="4"/>
      <c r="C48" s="4"/>
      <c r="D48" s="15"/>
      <c r="E48" s="17"/>
      <c r="F48" s="1"/>
      <c r="G48" s="15"/>
      <c r="H48" s="15"/>
      <c r="I48" s="15"/>
      <c r="J48" s="15"/>
    </row>
    <row r="49" spans="1:10" x14ac:dyDescent="0.25">
      <c r="A49" s="1"/>
      <c r="B49" s="4"/>
      <c r="C49" s="4"/>
      <c r="D49" s="15"/>
      <c r="E49" s="17"/>
      <c r="F49" s="5"/>
      <c r="G49" s="15"/>
      <c r="H49" s="18"/>
      <c r="I49" s="15"/>
      <c r="J49" s="15"/>
    </row>
    <row r="50" spans="1:10" x14ac:dyDescent="0.25">
      <c r="A50" s="1"/>
      <c r="B50" s="4"/>
      <c r="C50" s="4"/>
      <c r="D50" s="15"/>
      <c r="E50" s="17"/>
      <c r="F50" s="1"/>
      <c r="G50" s="15"/>
      <c r="H50" s="15"/>
      <c r="I50" s="15"/>
      <c r="J50" s="15"/>
    </row>
    <row r="51" spans="1:10" x14ac:dyDescent="0.25">
      <c r="A51" s="1"/>
      <c r="B51" s="4"/>
      <c r="C51" s="4"/>
      <c r="D51" s="15"/>
      <c r="E51" s="17"/>
      <c r="F51" s="1"/>
      <c r="G51" s="15"/>
      <c r="H51" s="15"/>
      <c r="I51" s="15"/>
      <c r="J51" s="15"/>
    </row>
    <row r="52" spans="1:10" x14ac:dyDescent="0.25">
      <c r="A52" s="1"/>
      <c r="B52" s="4"/>
      <c r="C52" s="4"/>
      <c r="D52" s="15"/>
      <c r="E52" s="17"/>
      <c r="F52" s="1"/>
      <c r="G52" s="15"/>
      <c r="H52" s="15"/>
      <c r="I52" s="15"/>
      <c r="J52" s="15"/>
    </row>
    <row r="53" spans="1:10" x14ac:dyDescent="0.25">
      <c r="A53" s="1"/>
      <c r="B53" s="4"/>
      <c r="C53" s="4"/>
      <c r="D53" s="15"/>
      <c r="E53" s="17"/>
      <c r="F53" s="1"/>
      <c r="G53" s="15"/>
      <c r="H53" s="15"/>
      <c r="I53" s="15"/>
      <c r="J53" s="15"/>
    </row>
    <row r="54" spans="1:10" x14ac:dyDescent="0.25">
      <c r="A54" s="1"/>
      <c r="B54" s="4"/>
      <c r="C54" s="4"/>
      <c r="D54" s="15"/>
      <c r="E54" s="17"/>
      <c r="F54" s="1"/>
      <c r="G54" s="15"/>
      <c r="H54" s="15"/>
      <c r="I54" s="15"/>
      <c r="J54" s="15"/>
    </row>
    <row r="55" spans="1:10" x14ac:dyDescent="0.25">
      <c r="A55" s="1"/>
      <c r="B55" s="4"/>
      <c r="C55" s="4"/>
      <c r="D55" s="15"/>
      <c r="E55" s="17"/>
      <c r="F55" s="1"/>
      <c r="G55" s="15"/>
      <c r="H55" s="15"/>
      <c r="I55" s="15"/>
      <c r="J55" s="15"/>
    </row>
    <row r="56" spans="1:10" x14ac:dyDescent="0.25">
      <c r="A56" s="1"/>
      <c r="B56" s="4"/>
      <c r="C56" s="4"/>
      <c r="D56" s="15"/>
      <c r="E56" s="17"/>
      <c r="F56" s="1"/>
      <c r="G56" s="15"/>
      <c r="H56" s="15"/>
      <c r="I56" s="15"/>
      <c r="J56" s="15"/>
    </row>
    <row r="57" spans="1:10" x14ac:dyDescent="0.25">
      <c r="A57" s="1"/>
      <c r="B57" s="4"/>
      <c r="C57" s="4"/>
      <c r="D57" s="15"/>
      <c r="E57" s="17"/>
      <c r="F57" s="1"/>
      <c r="G57" s="15"/>
      <c r="H57" s="15"/>
      <c r="I57" s="15"/>
      <c r="J57" s="15"/>
    </row>
    <row r="58" spans="1:10" x14ac:dyDescent="0.25">
      <c r="A58" s="1"/>
      <c r="B58" s="4"/>
      <c r="C58" s="4"/>
      <c r="D58" s="15"/>
      <c r="E58" s="17"/>
      <c r="F58" s="1"/>
      <c r="G58" s="15"/>
      <c r="H58" s="15"/>
      <c r="I58" s="15"/>
      <c r="J58" s="15"/>
    </row>
    <row r="59" spans="1:10" x14ac:dyDescent="0.25">
      <c r="A59" s="1"/>
      <c r="B59" s="4"/>
      <c r="C59" s="4"/>
      <c r="D59" s="15"/>
      <c r="E59" s="17"/>
      <c r="F59" s="1"/>
      <c r="G59" s="15"/>
      <c r="H59" s="15"/>
      <c r="I59" s="15"/>
      <c r="J59" s="15"/>
    </row>
    <row r="60" spans="1:10" x14ac:dyDescent="0.25">
      <c r="A60" s="11"/>
      <c r="B60" s="28"/>
      <c r="C60" s="28"/>
      <c r="D60" s="12"/>
      <c r="E60" s="16"/>
      <c r="F60" s="11"/>
      <c r="G60" s="12"/>
      <c r="H60" s="19"/>
      <c r="I60" s="29"/>
      <c r="J60" s="12"/>
    </row>
  </sheetData>
  <autoFilter ref="A8:J31" xr:uid="{FB923F8D-B03E-47F8-A94F-628F79E41DAA}">
    <sortState xmlns:xlrd2="http://schemas.microsoft.com/office/spreadsheetml/2017/richdata2" ref="A9:J31">
      <sortCondition descending="1" ref="E8"/>
    </sortState>
  </autoFilter>
  <sortState xmlns:xlrd2="http://schemas.microsoft.com/office/spreadsheetml/2017/richdata2" ref="A8:J9">
    <sortCondition descending="1" ref="E6"/>
  </sortState>
  <mergeCells count="5">
    <mergeCell ref="I7:J7"/>
    <mergeCell ref="I6:J6"/>
    <mergeCell ref="I4:J4"/>
    <mergeCell ref="A4:H5"/>
    <mergeCell ref="A6:H7"/>
  </mergeCells>
  <pageMargins left="0.7" right="0.7" top="0.75" bottom="0.75" header="0.3" footer="0.3"/>
  <pageSetup scale="9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27CC7-68FC-482F-97F4-A2F80698C590}">
  <sheetPr codeName="Sheet3"/>
  <dimension ref="A1:J2"/>
  <sheetViews>
    <sheetView workbookViewId="0">
      <selection activeCell="J2" sqref="J2"/>
    </sheetView>
  </sheetViews>
  <sheetFormatPr defaultRowHeight="15" x14ac:dyDescent="0.25"/>
  <cols>
    <col min="1" max="1" width="16.42578125" bestFit="1" customWidth="1"/>
    <col min="4" max="4" width="13.140625" bestFit="1" customWidth="1"/>
    <col min="5" max="5" width="11.85546875" bestFit="1" customWidth="1"/>
    <col min="6" max="6" width="13" bestFit="1" customWidth="1"/>
    <col min="7" max="7" width="25.42578125" bestFit="1" customWidth="1"/>
    <col min="8" max="8" width="21.5703125" bestFit="1" customWidth="1"/>
    <col min="9" max="9" width="22" bestFit="1" customWidth="1"/>
    <col min="10" max="10" width="19.28515625" bestFit="1" customWidth="1"/>
  </cols>
  <sheetData>
    <row r="1" spans="1:10" x14ac:dyDescent="0.25">
      <c r="A1" t="s">
        <v>6</v>
      </c>
      <c r="B1" s="1">
        <v>197224</v>
      </c>
      <c r="D1" s="1" t="s">
        <v>3</v>
      </c>
      <c r="E1" s="1" t="s">
        <v>7</v>
      </c>
      <c r="F1" s="1" t="s">
        <v>8</v>
      </c>
      <c r="G1" s="1" t="s">
        <v>9</v>
      </c>
      <c r="H1" s="1" t="s">
        <v>28</v>
      </c>
      <c r="I1" s="1" t="s">
        <v>29</v>
      </c>
      <c r="J1" s="1" t="s">
        <v>53</v>
      </c>
    </row>
    <row r="2" spans="1:10" x14ac:dyDescent="0.25">
      <c r="D2" s="1" t="s">
        <v>54</v>
      </c>
      <c r="E2" s="1" t="s">
        <v>48</v>
      </c>
      <c r="F2" s="1" t="s">
        <v>52</v>
      </c>
      <c r="G2" s="1">
        <v>20</v>
      </c>
      <c r="H2" s="1">
        <v>18.5</v>
      </c>
      <c r="I2" s="1">
        <v>21.5</v>
      </c>
      <c r="J2" s="1" t="s">
        <v>45</v>
      </c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89877-1172-4DCE-BADC-283135CA3F93}">
  <sheetPr codeName="Sheet5"/>
  <dimension ref="A1"/>
  <sheetViews>
    <sheetView workbookViewId="0">
      <selection activeCell="P31" sqref="P31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Measurements</vt:lpstr>
      <vt:lpstr>Removal Sheet</vt:lpstr>
      <vt:lpstr>RF Sheet</vt:lpstr>
      <vt:lpstr>Calculations</vt:lpstr>
      <vt:lpstr>Change Log</vt:lpstr>
    </vt:vector>
  </TitlesOfParts>
  <Company>Northrop Grumman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Everhart, Michael [US] (SP)</dc:creator>
  <cp:lastModifiedBy>Everhart, Michael [US] (SP)</cp:lastModifiedBy>
  <cp:lastPrinted>2026-05-04T14:51:56Z</cp:lastPrinted>
  <dcterms:created xsi:type="dcterms:W3CDTF">2023-07-19T12:23:09Z</dcterms:created>
  <dcterms:modified xsi:type="dcterms:W3CDTF">2026-05-04T14:53:00Z</dcterms:modified>
</cp:coreProperties>
</file>